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fromeroa\Downloads\MIAD\MachineLearnig\"/>
    </mc:Choice>
  </mc:AlternateContent>
  <bookViews>
    <workbookView xWindow="0" yWindow="0" windowWidth="24000" windowHeight="8535"/>
  </bookViews>
  <sheets>
    <sheet name="RegresionLineal" sheetId="2" r:id="rId1"/>
    <sheet name="RegresionLinealMultiple" sheetId="4" r:id="rId2"/>
    <sheet name="GenRecLogistic" sheetId="1" r:id="rId3"/>
    <sheet name="RegLogistic" sheetId="3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2" l="1"/>
  <c r="B19" i="2"/>
  <c r="B17" i="2"/>
  <c r="C2" i="1" l="1"/>
  <c r="A2" i="1"/>
  <c r="E29" i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I21" i="4" a="1"/>
  <c r="K21" i="4" s="1"/>
  <c r="G9" i="4" a="1"/>
  <c r="H9" i="4" s="1"/>
  <c r="F29" i="1" l="1"/>
  <c r="F33" i="1"/>
  <c r="F47" i="1"/>
  <c r="F39" i="1"/>
  <c r="F28" i="1"/>
  <c r="F46" i="1"/>
  <c r="F38" i="1"/>
  <c r="F53" i="1"/>
  <c r="F45" i="1"/>
  <c r="F37" i="1"/>
  <c r="F52" i="1"/>
  <c r="F44" i="1"/>
  <c r="F36" i="1"/>
  <c r="F51" i="1"/>
  <c r="F43" i="1"/>
  <c r="F35" i="1"/>
  <c r="F50" i="1"/>
  <c r="F42" i="1"/>
  <c r="F34" i="1"/>
  <c r="F49" i="1"/>
  <c r="F41" i="1"/>
  <c r="F48" i="1"/>
  <c r="F40" i="1"/>
  <c r="F32" i="1"/>
  <c r="F31" i="1"/>
  <c r="F30" i="1"/>
  <c r="H11" i="4"/>
  <c r="I11" i="4"/>
  <c r="J11" i="4"/>
  <c r="L21" i="4"/>
  <c r="G10" i="4"/>
  <c r="G12" i="4"/>
  <c r="H10" i="4"/>
  <c r="H12" i="4"/>
  <c r="I9" i="4"/>
  <c r="J9" i="4"/>
  <c r="I10" i="4"/>
  <c r="I12" i="4"/>
  <c r="J10" i="4"/>
  <c r="J12" i="4"/>
  <c r="G9" i="4"/>
  <c r="G11" i="4"/>
  <c r="I21" i="4"/>
  <c r="J21" i="4"/>
  <c r="L9" i="4" l="1" a="1"/>
  <c r="L9" i="4" s="1"/>
  <c r="N11" i="4" l="1"/>
  <c r="M12" i="4"/>
  <c r="O9" i="4"/>
  <c r="N10" i="4"/>
  <c r="O11" i="4"/>
  <c r="N12" i="4"/>
  <c r="L10" i="4"/>
  <c r="O10" i="4"/>
  <c r="L12" i="4"/>
  <c r="O12" i="4"/>
  <c r="M11" i="4"/>
  <c r="L11" i="4"/>
  <c r="N9" i="4"/>
  <c r="M9" i="4"/>
  <c r="G15" i="4" s="1" a="1"/>
  <c r="M10" i="4"/>
  <c r="H3" i="3"/>
  <c r="I3" i="3" s="1"/>
  <c r="H4" i="3"/>
  <c r="I4" i="3" s="1"/>
  <c r="H5" i="3"/>
  <c r="I5" i="3" s="1"/>
  <c r="H6" i="3"/>
  <c r="I6" i="3" s="1"/>
  <c r="H7" i="3"/>
  <c r="I7" i="3" s="1"/>
  <c r="H8" i="3"/>
  <c r="I8" i="3" s="1"/>
  <c r="H9" i="3"/>
  <c r="I9" i="3" s="1"/>
  <c r="H10" i="3"/>
  <c r="I10" i="3" s="1"/>
  <c r="H11" i="3"/>
  <c r="I11" i="3" s="1"/>
  <c r="H12" i="3"/>
  <c r="I12" i="3" s="1"/>
  <c r="H13" i="3"/>
  <c r="I13" i="3" s="1"/>
  <c r="H14" i="3"/>
  <c r="I14" i="3" s="1"/>
  <c r="H15" i="3"/>
  <c r="I15" i="3" s="1"/>
  <c r="H16" i="3"/>
  <c r="I16" i="3" s="1"/>
  <c r="H17" i="3"/>
  <c r="I17" i="3" s="1"/>
  <c r="H18" i="3"/>
  <c r="I18" i="3" s="1"/>
  <c r="H19" i="3"/>
  <c r="I19" i="3" s="1"/>
  <c r="H20" i="3"/>
  <c r="I20" i="3" s="1"/>
  <c r="H21" i="3"/>
  <c r="I21" i="3" s="1"/>
  <c r="H22" i="3"/>
  <c r="I22" i="3" s="1"/>
  <c r="H23" i="3"/>
  <c r="I23" i="3" s="1"/>
  <c r="H24" i="3"/>
  <c r="I24" i="3" s="1"/>
  <c r="H25" i="3"/>
  <c r="I25" i="3" s="1"/>
  <c r="H26" i="3"/>
  <c r="I26" i="3" s="1"/>
  <c r="H27" i="3"/>
  <c r="I27" i="3" s="1"/>
  <c r="H28" i="3"/>
  <c r="I28" i="3" s="1"/>
  <c r="H29" i="3"/>
  <c r="I29" i="3" s="1"/>
  <c r="H30" i="3"/>
  <c r="I30" i="3" s="1"/>
  <c r="H31" i="3"/>
  <c r="I31" i="3" s="1"/>
  <c r="H32" i="3"/>
  <c r="I32" i="3" s="1"/>
  <c r="H33" i="3"/>
  <c r="I33" i="3" s="1"/>
  <c r="H34" i="3"/>
  <c r="I34" i="3" s="1"/>
  <c r="H35" i="3"/>
  <c r="I35" i="3" s="1"/>
  <c r="H36" i="3"/>
  <c r="I36" i="3" s="1"/>
  <c r="H37" i="3"/>
  <c r="I37" i="3" s="1"/>
  <c r="H38" i="3"/>
  <c r="I38" i="3" s="1"/>
  <c r="H39" i="3"/>
  <c r="I39" i="3" s="1"/>
  <c r="H40" i="3"/>
  <c r="I40" i="3" s="1"/>
  <c r="H41" i="3"/>
  <c r="I41" i="3" s="1"/>
  <c r="H42" i="3"/>
  <c r="I42" i="3" s="1"/>
  <c r="H43" i="3"/>
  <c r="I43" i="3" s="1"/>
  <c r="H44" i="3"/>
  <c r="I44" i="3" s="1"/>
  <c r="H45" i="3"/>
  <c r="I45" i="3" s="1"/>
  <c r="H46" i="3"/>
  <c r="I46" i="3" s="1"/>
  <c r="H47" i="3"/>
  <c r="I47" i="3" s="1"/>
  <c r="H48" i="3"/>
  <c r="I48" i="3" s="1"/>
  <c r="H49" i="3"/>
  <c r="I49" i="3" s="1"/>
  <c r="H50" i="3"/>
  <c r="I50" i="3" s="1"/>
  <c r="H51" i="3"/>
  <c r="I51" i="3" s="1"/>
  <c r="H52" i="3"/>
  <c r="I52" i="3" s="1"/>
  <c r="H53" i="3"/>
  <c r="I53" i="3" s="1"/>
  <c r="H2" i="3"/>
  <c r="I2" i="3" s="1"/>
  <c r="K17" i="4" l="1"/>
  <c r="N18" i="4"/>
  <c r="I16" i="4"/>
  <c r="N17" i="4"/>
  <c r="I15" i="4"/>
  <c r="M18" i="4"/>
  <c r="O17" i="4"/>
  <c r="M15" i="4"/>
  <c r="G15" i="4"/>
  <c r="P17" i="4"/>
  <c r="K15" i="4"/>
  <c r="P16" i="4"/>
  <c r="J18" i="4"/>
  <c r="O18" i="4"/>
  <c r="J15" i="4"/>
  <c r="L15" i="4"/>
  <c r="I18" i="4"/>
  <c r="P18" i="4"/>
  <c r="O16" i="4"/>
  <c r="G17" i="4"/>
  <c r="N15" i="4"/>
  <c r="J17" i="4"/>
  <c r="H17" i="4"/>
  <c r="N16" i="4"/>
  <c r="H16" i="4"/>
  <c r="L17" i="4"/>
  <c r="H15" i="4"/>
  <c r="G21" i="4" s="1" a="1"/>
  <c r="P15" i="4"/>
  <c r="G18" i="4"/>
  <c r="K18" i="4"/>
  <c r="M17" i="4"/>
  <c r="L16" i="4"/>
  <c r="G16" i="4"/>
  <c r="J16" i="4"/>
  <c r="M16" i="4"/>
  <c r="I17" i="4"/>
  <c r="O15" i="4"/>
  <c r="K16" i="4"/>
  <c r="H18" i="4"/>
  <c r="L18" i="4"/>
  <c r="B10" i="1"/>
  <c r="B9" i="1"/>
  <c r="B15" i="1" l="1"/>
  <c r="B14" i="1"/>
  <c r="B16" i="1"/>
  <c r="G24" i="4"/>
  <c r="G23" i="4"/>
  <c r="G22" i="4"/>
  <c r="G21" i="4"/>
  <c r="F2" i="1"/>
  <c r="E3" i="1"/>
  <c r="F3" i="1" s="1"/>
  <c r="E4" i="1" l="1"/>
  <c r="F4" i="1" l="1"/>
  <c r="E5" i="1"/>
  <c r="E6" i="1" l="1"/>
  <c r="F6" i="1" l="1"/>
  <c r="E7" i="1"/>
  <c r="F7" i="1" l="1"/>
  <c r="E8" i="1"/>
  <c r="F8" i="1" l="1"/>
  <c r="E9" i="1"/>
  <c r="F9" i="1" l="1"/>
  <c r="E10" i="1"/>
  <c r="F10" i="1" l="1"/>
  <c r="E11" i="1"/>
  <c r="F11" i="1" l="1"/>
  <c r="E12" i="1"/>
  <c r="F12" i="1" l="1"/>
  <c r="E13" i="1"/>
  <c r="F13" i="1" l="1"/>
  <c r="E14" i="1"/>
  <c r="F14" i="1" l="1"/>
  <c r="E15" i="1"/>
  <c r="F15" i="1" l="1"/>
  <c r="E16" i="1"/>
  <c r="F16" i="1" l="1"/>
  <c r="E17" i="1"/>
  <c r="F17" i="1" l="1"/>
  <c r="E18" i="1"/>
  <c r="F18" i="1" l="1"/>
  <c r="E19" i="1"/>
  <c r="F19" i="1" l="1"/>
  <c r="E20" i="1"/>
  <c r="F20" i="1" l="1"/>
  <c r="E21" i="1"/>
  <c r="F21" i="1" l="1"/>
  <c r="E22" i="1"/>
  <c r="F22" i="1" l="1"/>
  <c r="E23" i="1"/>
  <c r="F23" i="1" l="1"/>
  <c r="E24" i="1"/>
  <c r="F24" i="1" l="1"/>
  <c r="E25" i="1"/>
  <c r="F25" i="1" l="1"/>
  <c r="E26" i="1"/>
  <c r="F26" i="1" l="1"/>
  <c r="E27" i="1"/>
  <c r="F27" i="1" l="1"/>
</calcChain>
</file>

<file path=xl/sharedStrings.xml><?xml version="1.0" encoding="utf-8"?>
<sst xmlns="http://schemas.openxmlformats.org/spreadsheetml/2006/main" count="99" uniqueCount="33">
  <si>
    <t>C</t>
  </si>
  <si>
    <t>X</t>
  </si>
  <si>
    <t>Y</t>
  </si>
  <si>
    <t>ATT1</t>
  </si>
  <si>
    <t>Step</t>
  </si>
  <si>
    <t>Line</t>
  </si>
  <si>
    <t>Noise_CLS1</t>
  </si>
  <si>
    <t>Noise_CLS2</t>
  </si>
  <si>
    <t>m</t>
  </si>
  <si>
    <t>b</t>
  </si>
  <si>
    <t>Alfa</t>
  </si>
  <si>
    <t>Epochs</t>
  </si>
  <si>
    <t>CLS</t>
  </si>
  <si>
    <t>Theta1</t>
  </si>
  <si>
    <t>Theta2</t>
  </si>
  <si>
    <t>x1</t>
  </si>
  <si>
    <t>x2</t>
  </si>
  <si>
    <t>X_trans</t>
  </si>
  <si>
    <t>Parque. Automotor</t>
  </si>
  <si>
    <t>Salario Minimo</t>
  </si>
  <si>
    <t>Precio Petroleo</t>
  </si>
  <si>
    <t>Estímulo demanda</t>
  </si>
  <si>
    <t>Xtrans</t>
  </si>
  <si>
    <t>Xtrans *  X</t>
  </si>
  <si>
    <t>(Xtrans *  X)^-1</t>
  </si>
  <si>
    <t>(Xtrans *  X)^-1 * Xtrans</t>
  </si>
  <si>
    <t>Beta</t>
  </si>
  <si>
    <t>ESTIMACION LINEAL EXCEL</t>
  </si>
  <si>
    <t>ATT2</t>
  </si>
  <si>
    <t>Class</t>
  </si>
  <si>
    <t>YES</t>
  </si>
  <si>
    <t>NO</t>
  </si>
  <si>
    <t>Noise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</si>
</sst>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1" fillId="3" borderId="0" xfId="0" applyFont="1" applyFill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/>
    <xf numFmtId="0" fontId="1" fillId="2" borderId="1" xfId="0" applyFont="1" applyFill="1" applyBorder="1"/>
    <xf numFmtId="0" fontId="0" fillId="0" borderId="0" xfId="0" applyFill="1" applyBorder="1"/>
    <xf numFmtId="0" fontId="1" fillId="0" borderId="0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0" fillId="0" borderId="1" xfId="0" applyFill="1" applyBorder="1"/>
    <xf numFmtId="0" fontId="0" fillId="0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8" borderId="0" xfId="0" applyFill="1"/>
    <xf numFmtId="0" fontId="0" fillId="9" borderId="0" xfId="0" applyFill="1"/>
    <xf numFmtId="0" fontId="0" fillId="11" borderId="0" xfId="0" applyFill="1"/>
    <xf numFmtId="0" fontId="1" fillId="10" borderId="1" xfId="0" applyFont="1" applyFill="1" applyBorder="1" applyAlignment="1">
      <alignment horizontal="center"/>
    </xf>
    <xf numFmtId="1" fontId="0" fillId="10" borderId="1" xfId="0" applyNumberFormat="1" applyFill="1" applyBorder="1"/>
    <xf numFmtId="0" fontId="0" fillId="7" borderId="1" xfId="0" applyFill="1" applyBorder="1"/>
    <xf numFmtId="1" fontId="0" fillId="7" borderId="1" xfId="0" applyNumberFormat="1" applyFill="1" applyBorder="1"/>
    <xf numFmtId="164" fontId="0" fillId="7" borderId="1" xfId="0" applyNumberFormat="1" applyFill="1" applyBorder="1"/>
    <xf numFmtId="0" fontId="0" fillId="0" borderId="0" xfId="0" applyFill="1"/>
    <xf numFmtId="0" fontId="1" fillId="7" borderId="1" xfId="0" applyFont="1" applyFill="1" applyBorder="1" applyAlignment="1">
      <alignment horizontal="center"/>
    </xf>
    <xf numFmtId="0" fontId="0" fillId="6" borderId="1" xfId="0" applyFill="1" applyBorder="1"/>
    <xf numFmtId="0" fontId="1" fillId="0" borderId="0" xfId="0" applyFont="1"/>
    <xf numFmtId="0" fontId="1" fillId="12" borderId="0" xfId="0" applyFont="1" applyFill="1"/>
    <xf numFmtId="0" fontId="1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2" fillId="4" borderId="1" xfId="0" applyFont="1" applyFill="1" applyBorder="1"/>
    <xf numFmtId="0" fontId="2" fillId="4" borderId="5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3" xfId="0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7" borderId="4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RegresionLineal!$F$1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RegresionLineal!$E$2:$E$53</c:f>
              <c:numCache>
                <c:formatCode>General</c:formatCode>
                <c:ptCount val="52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  <c:pt idx="26">
                  <c:v>0</c:v>
                </c:pt>
                <c:pt idx="27">
                  <c:v>0.2</c:v>
                </c:pt>
                <c:pt idx="28">
                  <c:v>0.4</c:v>
                </c:pt>
                <c:pt idx="29">
                  <c:v>0.60000000000000009</c:v>
                </c:pt>
                <c:pt idx="30">
                  <c:v>0.8</c:v>
                </c:pt>
                <c:pt idx="31">
                  <c:v>1</c:v>
                </c:pt>
                <c:pt idx="32">
                  <c:v>1.2</c:v>
                </c:pt>
                <c:pt idx="33">
                  <c:v>1.4</c:v>
                </c:pt>
                <c:pt idx="34">
                  <c:v>1.5999999999999999</c:v>
                </c:pt>
                <c:pt idx="35">
                  <c:v>1.7999999999999998</c:v>
                </c:pt>
                <c:pt idx="36">
                  <c:v>1.9999999999999998</c:v>
                </c:pt>
                <c:pt idx="37">
                  <c:v>2.1999999999999997</c:v>
                </c:pt>
                <c:pt idx="38">
                  <c:v>2.4</c:v>
                </c:pt>
                <c:pt idx="39">
                  <c:v>2.6</c:v>
                </c:pt>
                <c:pt idx="40">
                  <c:v>2.8000000000000003</c:v>
                </c:pt>
                <c:pt idx="41">
                  <c:v>3.0000000000000004</c:v>
                </c:pt>
                <c:pt idx="42">
                  <c:v>3.2000000000000006</c:v>
                </c:pt>
                <c:pt idx="43">
                  <c:v>3.4000000000000008</c:v>
                </c:pt>
                <c:pt idx="44">
                  <c:v>3.600000000000001</c:v>
                </c:pt>
                <c:pt idx="45">
                  <c:v>3.8000000000000012</c:v>
                </c:pt>
                <c:pt idx="46">
                  <c:v>4.0000000000000009</c:v>
                </c:pt>
                <c:pt idx="47">
                  <c:v>4.2000000000000011</c:v>
                </c:pt>
                <c:pt idx="48">
                  <c:v>4.4000000000000012</c:v>
                </c:pt>
                <c:pt idx="49">
                  <c:v>4.6000000000000014</c:v>
                </c:pt>
                <c:pt idx="50">
                  <c:v>4.8000000000000016</c:v>
                </c:pt>
                <c:pt idx="51">
                  <c:v>5.0000000000000018</c:v>
                </c:pt>
              </c:numCache>
            </c:numRef>
          </c:xVal>
          <c:yVal>
            <c:numRef>
              <c:f>RegresionLineal!$F$2:$F$53</c:f>
              <c:numCache>
                <c:formatCode>General</c:formatCode>
                <c:ptCount val="52"/>
                <c:pt idx="0">
                  <c:v>3.1496769189834595</c:v>
                </c:pt>
                <c:pt idx="1">
                  <c:v>-5.3442891836166382</c:v>
                </c:pt>
                <c:pt idx="2">
                  <c:v>-2.8671799898147583</c:v>
                </c:pt>
                <c:pt idx="3">
                  <c:v>3.4597741365432739</c:v>
                </c:pt>
                <c:pt idx="4">
                  <c:v>-5.497109055519104</c:v>
                </c:pt>
                <c:pt idx="5">
                  <c:v>2.1381646394729614</c:v>
                </c:pt>
                <c:pt idx="6">
                  <c:v>-1.2937899827957153</c:v>
                </c:pt>
                <c:pt idx="7">
                  <c:v>0.91888439655303955</c:v>
                </c:pt>
                <c:pt idx="8">
                  <c:v>0.92186319828033447</c:v>
                </c:pt>
                <c:pt idx="9">
                  <c:v>-3.8711313009262085</c:v>
                </c:pt>
                <c:pt idx="10">
                  <c:v>-0.77241718769073486</c:v>
                </c:pt>
                <c:pt idx="11">
                  <c:v>1.7523995637893677</c:v>
                </c:pt>
                <c:pt idx="12">
                  <c:v>-4.8797785043716431</c:v>
                </c:pt>
                <c:pt idx="13">
                  <c:v>3.8839303255081177</c:v>
                </c:pt>
                <c:pt idx="14">
                  <c:v>-3.1609717607498169</c:v>
                </c:pt>
                <c:pt idx="15">
                  <c:v>-3.6678379774093628</c:v>
                </c:pt>
                <c:pt idx="16">
                  <c:v>2.4382511377334595</c:v>
                </c:pt>
                <c:pt idx="17">
                  <c:v>-1.7207883596420288</c:v>
                </c:pt>
                <c:pt idx="18">
                  <c:v>-3.2079888582229614</c:v>
                </c:pt>
                <c:pt idx="19">
                  <c:v>1.4430352449417116</c:v>
                </c:pt>
                <c:pt idx="20">
                  <c:v>1.8527179956436157</c:v>
                </c:pt>
                <c:pt idx="21">
                  <c:v>0.11852657794952415</c:v>
                </c:pt>
                <c:pt idx="22">
                  <c:v>-1.0526286363601682</c:v>
                </c:pt>
                <c:pt idx="23">
                  <c:v>4.2894135713577271</c:v>
                </c:pt>
                <c:pt idx="24">
                  <c:v>3.1871219873428349</c:v>
                </c:pt>
                <c:pt idx="25">
                  <c:v>-3.2877916097640987</c:v>
                </c:pt>
                <c:pt idx="26">
                  <c:v>-5.685388445854187</c:v>
                </c:pt>
                <c:pt idx="27">
                  <c:v>-4.5489403009414673</c:v>
                </c:pt>
                <c:pt idx="28">
                  <c:v>0.8933485746383667</c:v>
                </c:pt>
                <c:pt idx="29">
                  <c:v>-4.2739106416702271</c:v>
                </c:pt>
                <c:pt idx="30">
                  <c:v>-3.605254054069519</c:v>
                </c:pt>
                <c:pt idx="31">
                  <c:v>-5.5892473459243774</c:v>
                </c:pt>
                <c:pt idx="32">
                  <c:v>-5.5974801778793335</c:v>
                </c:pt>
                <c:pt idx="33">
                  <c:v>3.599850058555603</c:v>
                </c:pt>
                <c:pt idx="34">
                  <c:v>-2.0839728116989136</c:v>
                </c:pt>
                <c:pt idx="35">
                  <c:v>-5.5654827356338501</c:v>
                </c:pt>
                <c:pt idx="36">
                  <c:v>2.5783461332321167</c:v>
                </c:pt>
                <c:pt idx="37">
                  <c:v>-2.7035542726516724</c:v>
                </c:pt>
                <c:pt idx="38">
                  <c:v>-2.8232048749923706</c:v>
                </c:pt>
                <c:pt idx="39">
                  <c:v>3.6584590673446655</c:v>
                </c:pt>
                <c:pt idx="40">
                  <c:v>-0.68495309352874756</c:v>
                </c:pt>
                <c:pt idx="41">
                  <c:v>-2.3626738786697388</c:v>
                </c:pt>
                <c:pt idx="42">
                  <c:v>-5.4152354001998901</c:v>
                </c:pt>
                <c:pt idx="43">
                  <c:v>-4.6011291742324829</c:v>
                </c:pt>
                <c:pt idx="44">
                  <c:v>-2.8249038457870483</c:v>
                </c:pt>
                <c:pt idx="45">
                  <c:v>1.2398990392684939</c:v>
                </c:pt>
                <c:pt idx="46">
                  <c:v>-4.8429745435714722</c:v>
                </c:pt>
                <c:pt idx="47">
                  <c:v>-4.8372980356216431</c:v>
                </c:pt>
                <c:pt idx="48">
                  <c:v>-3.9697526693344116</c:v>
                </c:pt>
                <c:pt idx="49">
                  <c:v>-3.9489032030105591</c:v>
                </c:pt>
                <c:pt idx="50">
                  <c:v>-3.9799574613571163</c:v>
                </c:pt>
                <c:pt idx="51">
                  <c:v>-1.3629108667373653</c:v>
                </c:pt>
              </c:numCache>
            </c:numRef>
          </c:yVal>
          <c:smooth val="0"/>
        </c:ser>
        <c:ser>
          <c:idx val="1"/>
          <c:order val="1"/>
          <c:tx>
            <c:v>Regresion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>
                    <a:lumMod val="75000"/>
                  </a:schemeClr>
                </a:solidFill>
                <a:prstDash val="solid"/>
              </a:ln>
              <a:effectLst/>
            </c:spPr>
            <c:trendlineType val="linear"/>
            <c:dispRSqr val="0"/>
            <c:dispEq val="0"/>
          </c:trendline>
          <c:xVal>
            <c:numRef>
              <c:f>RegresionLineal!$A$17:$A$19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2.5</c:v>
                </c:pt>
              </c:numCache>
            </c:numRef>
          </c:xVal>
          <c:yVal>
            <c:numRef>
              <c:f>RegresionLineal!$B$17:$B$19</c:f>
              <c:numCache>
                <c:formatCode>General</c:formatCode>
                <c:ptCount val="3"/>
                <c:pt idx="0">
                  <c:v>-0.93827709001718496</c:v>
                </c:pt>
                <c:pt idx="1">
                  <c:v>-0.59424936486615965</c:v>
                </c:pt>
                <c:pt idx="2">
                  <c:v>-0.7662632274416723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212304"/>
        <c:axId val="1424212848"/>
      </c:scatterChart>
      <c:valAx>
        <c:axId val="142421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24212848"/>
        <c:crosses val="autoZero"/>
        <c:crossBetween val="midCat"/>
      </c:valAx>
      <c:valAx>
        <c:axId val="142421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24212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"YES"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GenRecLogistic!$E$2:$E$27</c:f>
              <c:numCache>
                <c:formatCode>General</c:formatCode>
                <c:ptCount val="2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</c:numCache>
            </c:numRef>
          </c:xVal>
          <c:yVal>
            <c:numRef>
              <c:f>GenRecLogistic!$F$2:$F$27</c:f>
              <c:numCache>
                <c:formatCode>General</c:formatCode>
                <c:ptCount val="26"/>
                <c:pt idx="0">
                  <c:v>1.866589945146615</c:v>
                </c:pt>
                <c:pt idx="1">
                  <c:v>0.55437552513881039</c:v>
                </c:pt>
                <c:pt idx="2">
                  <c:v>1.2191548560101215</c:v>
                </c:pt>
                <c:pt idx="3">
                  <c:v>1.3911107347759799</c:v>
                </c:pt>
                <c:pt idx="4">
                  <c:v>1.7137054471193864</c:v>
                </c:pt>
                <c:pt idx="5">
                  <c:v>1.865985361882162</c:v>
                </c:pt>
                <c:pt idx="6">
                  <c:v>0.98898557653771668</c:v>
                </c:pt>
                <c:pt idx="7">
                  <c:v>1.3057825599421258</c:v>
                </c:pt>
                <c:pt idx="8">
                  <c:v>7.7942208916927935E-2</c:v>
                </c:pt>
                <c:pt idx="9">
                  <c:v>-0.37123623909768111</c:v>
                </c:pt>
                <c:pt idx="10">
                  <c:v>0.22237810727009166</c:v>
                </c:pt>
                <c:pt idx="11">
                  <c:v>-0.4083082242298266</c:v>
                </c:pt>
                <c:pt idx="12">
                  <c:v>-0.2351975273675897</c:v>
                </c:pt>
                <c:pt idx="13">
                  <c:v>-1.1519536058645645</c:v>
                </c:pt>
                <c:pt idx="14">
                  <c:v>-0.85366439338432287</c:v>
                </c:pt>
                <c:pt idx="15">
                  <c:v>-1.4333718675930176</c:v>
                </c:pt>
                <c:pt idx="16">
                  <c:v>-1.9384786562839373E-2</c:v>
                </c:pt>
                <c:pt idx="17">
                  <c:v>-1.2824051944204995</c:v>
                </c:pt>
                <c:pt idx="18">
                  <c:v>-0.22029562870233543</c:v>
                </c:pt>
                <c:pt idx="19">
                  <c:v>-1.2817984800859732</c:v>
                </c:pt>
                <c:pt idx="20">
                  <c:v>-0.85634780232094276</c:v>
                </c:pt>
                <c:pt idx="21">
                  <c:v>-2.0230600084568922</c:v>
                </c:pt>
                <c:pt idx="22">
                  <c:v>-0.71139551065523987</c:v>
                </c:pt>
                <c:pt idx="23">
                  <c:v>-0.95913200731626347</c:v>
                </c:pt>
                <c:pt idx="24">
                  <c:v>-2.4249007967927954</c:v>
                </c:pt>
                <c:pt idx="25">
                  <c:v>-2.8819357070501637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BD9-4B5D-B4B6-9758AD9A49FD}"/>
            </c:ext>
          </c:extLst>
        </c:ser>
        <c:ser>
          <c:idx val="1"/>
          <c:order val="1"/>
          <c:tx>
            <c:v>"NO"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GenRecLogistic!$E$28:$E$53</c:f>
              <c:numCache>
                <c:formatCode>General</c:formatCode>
                <c:ptCount val="26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  <c:pt idx="15">
                  <c:v>3.0000000000000004</c:v>
                </c:pt>
                <c:pt idx="16">
                  <c:v>3.2000000000000006</c:v>
                </c:pt>
                <c:pt idx="17">
                  <c:v>3.4000000000000008</c:v>
                </c:pt>
                <c:pt idx="18">
                  <c:v>3.600000000000001</c:v>
                </c:pt>
                <c:pt idx="19">
                  <c:v>3.8000000000000012</c:v>
                </c:pt>
                <c:pt idx="20">
                  <c:v>4.0000000000000009</c:v>
                </c:pt>
                <c:pt idx="21">
                  <c:v>4.2000000000000011</c:v>
                </c:pt>
                <c:pt idx="22">
                  <c:v>4.4000000000000012</c:v>
                </c:pt>
                <c:pt idx="23">
                  <c:v>4.6000000000000014</c:v>
                </c:pt>
                <c:pt idx="24">
                  <c:v>4.8000000000000016</c:v>
                </c:pt>
                <c:pt idx="25">
                  <c:v>5.0000000000000018</c:v>
                </c:pt>
              </c:numCache>
            </c:numRef>
          </c:xVal>
          <c:yVal>
            <c:numRef>
              <c:f>GenRecLogistic!$F$28:$F$53</c:f>
              <c:numCache>
                <c:formatCode>General</c:formatCode>
                <c:ptCount val="26"/>
                <c:pt idx="0">
                  <c:v>0.53096115550395262</c:v>
                </c:pt>
                <c:pt idx="1">
                  <c:v>-0.63521498421723621</c:v>
                </c:pt>
                <c:pt idx="2">
                  <c:v>-2.5685496863202975</c:v>
                </c:pt>
                <c:pt idx="3">
                  <c:v>-1.2408728953193333</c:v>
                </c:pt>
                <c:pt idx="4">
                  <c:v>-0.94855611354922598</c:v>
                </c:pt>
                <c:pt idx="5">
                  <c:v>-0.83596522902812154</c:v>
                </c:pt>
                <c:pt idx="6">
                  <c:v>-1.0658797913497744</c:v>
                </c:pt>
                <c:pt idx="7">
                  <c:v>-1.0496198182026473</c:v>
                </c:pt>
                <c:pt idx="8">
                  <c:v>-1.8560489716352691</c:v>
                </c:pt>
                <c:pt idx="9">
                  <c:v>-1.927984696974236</c:v>
                </c:pt>
                <c:pt idx="10">
                  <c:v>-2.6755760555172143</c:v>
                </c:pt>
                <c:pt idx="11">
                  <c:v>-1.3384175629275936</c:v>
                </c:pt>
                <c:pt idx="12">
                  <c:v>-1.8929809674031572</c:v>
                </c:pt>
                <c:pt idx="13">
                  <c:v>-4.2662713093392099</c:v>
                </c:pt>
                <c:pt idx="14">
                  <c:v>-4.351173742197382</c:v>
                </c:pt>
                <c:pt idx="15">
                  <c:v>-2.0746531530824961</c:v>
                </c:pt>
                <c:pt idx="16">
                  <c:v>-2.1972174560682602</c:v>
                </c:pt>
                <c:pt idx="17">
                  <c:v>-2.7251332979777025</c:v>
                </c:pt>
                <c:pt idx="18">
                  <c:v>-3.6188661740473842</c:v>
                </c:pt>
                <c:pt idx="19">
                  <c:v>-3.7878643586519116</c:v>
                </c:pt>
                <c:pt idx="20">
                  <c:v>-3.5179072274348053</c:v>
                </c:pt>
                <c:pt idx="21">
                  <c:v>-4.0732515777770111</c:v>
                </c:pt>
                <c:pt idx="22">
                  <c:v>-5.3582925265794756</c:v>
                </c:pt>
                <c:pt idx="23">
                  <c:v>-5.044001703931742</c:v>
                </c:pt>
                <c:pt idx="24">
                  <c:v>-3.878117373335928</c:v>
                </c:pt>
                <c:pt idx="25">
                  <c:v>-5.7050347041819736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BD9-4B5D-B4B6-9758AD9A49FD}"/>
            </c:ext>
          </c:extLst>
        </c:ser>
        <c:ser>
          <c:idx val="2"/>
          <c:order val="2"/>
          <c:tx>
            <c:v>"LINE"</c:v>
          </c:tx>
          <c:spPr>
            <a:ln w="254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GenRecLogistic!$A$14:$A$16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2.5</c:v>
                </c:pt>
              </c:numCache>
            </c:numRef>
          </c:xVal>
          <c:yVal>
            <c:numRef>
              <c:f>GenRecLogistic!$B$14:$B$16</c:f>
              <c:numCache>
                <c:formatCode>General</c:formatCode>
                <c:ptCount val="3"/>
                <c:pt idx="0">
                  <c:v>0.625</c:v>
                </c:pt>
                <c:pt idx="1">
                  <c:v>-3.125</c:v>
                </c:pt>
                <c:pt idx="2">
                  <c:v>-1.25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BD9-4B5D-B4B6-9758AD9A4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4213392"/>
        <c:axId val="1424214480"/>
      </c:scatterChart>
      <c:valAx>
        <c:axId val="142421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24214480"/>
        <c:crosses val="autoZero"/>
        <c:crossBetween val="midCat"/>
      </c:valAx>
      <c:valAx>
        <c:axId val="142421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424213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RegLogistic!$I$1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RegLogistic!$H$2:$H$53</c:f>
              <c:numCache>
                <c:formatCode>General</c:formatCode>
                <c:ptCount val="52"/>
                <c:pt idx="0">
                  <c:v>4.8950207141536959</c:v>
                </c:pt>
                <c:pt idx="1">
                  <c:v>1.5250531816218966</c:v>
                </c:pt>
                <c:pt idx="2">
                  <c:v>2.084226549715511</c:v>
                </c:pt>
                <c:pt idx="3">
                  <c:v>1.600059809012937</c:v>
                </c:pt>
                <c:pt idx="4">
                  <c:v>2.9472519059593729</c:v>
                </c:pt>
                <c:pt idx="5">
                  <c:v>2.2075713052653869</c:v>
                </c:pt>
                <c:pt idx="6">
                  <c:v>0.86299730001499309</c:v>
                </c:pt>
                <c:pt idx="7">
                  <c:v>4.92088358674446</c:v>
                </c:pt>
                <c:pt idx="8">
                  <c:v>2.2541302422111138</c:v>
                </c:pt>
                <c:pt idx="9">
                  <c:v>2.2469123496203016</c:v>
                </c:pt>
                <c:pt idx="10">
                  <c:v>2.8927304202812891</c:v>
                </c:pt>
                <c:pt idx="11">
                  <c:v>2.8843193734280272</c:v>
                </c:pt>
                <c:pt idx="12">
                  <c:v>3.1140766399666808</c:v>
                </c:pt>
                <c:pt idx="13">
                  <c:v>4.2422961551859117</c:v>
                </c:pt>
                <c:pt idx="14">
                  <c:v>3.6633339399870439</c:v>
                </c:pt>
                <c:pt idx="15">
                  <c:v>0.61968002368637665</c:v>
                </c:pt>
                <c:pt idx="16">
                  <c:v>1.6536694968888206</c:v>
                </c:pt>
                <c:pt idx="17">
                  <c:v>3.2283346019332733</c:v>
                </c:pt>
                <c:pt idx="18">
                  <c:v>4.444684855342218</c:v>
                </c:pt>
                <c:pt idx="19">
                  <c:v>1.4947186019240704</c:v>
                </c:pt>
                <c:pt idx="20">
                  <c:v>4.0017780176623248</c:v>
                </c:pt>
                <c:pt idx="21">
                  <c:v>0.22934396929214618</c:v>
                </c:pt>
                <c:pt idx="22">
                  <c:v>3.692490479651056E-2</c:v>
                </c:pt>
                <c:pt idx="23">
                  <c:v>2.4123193269571761</c:v>
                </c:pt>
                <c:pt idx="24">
                  <c:v>1.657163994985102</c:v>
                </c:pt>
                <c:pt idx="25">
                  <c:v>2.6525719818843765</c:v>
                </c:pt>
                <c:pt idx="26">
                  <c:v>-1.4486387488679366</c:v>
                </c:pt>
                <c:pt idx="27">
                  <c:v>-0.26835730279692449</c:v>
                </c:pt>
                <c:pt idx="28">
                  <c:v>-3.2735573737895884</c:v>
                </c:pt>
                <c:pt idx="29">
                  <c:v>-3.4357673864036533</c:v>
                </c:pt>
                <c:pt idx="30">
                  <c:v>-0.94384224831196462</c:v>
                </c:pt>
                <c:pt idx="31">
                  <c:v>0.44883970643761462</c:v>
                </c:pt>
                <c:pt idx="32">
                  <c:v>-0.16368982441154922</c:v>
                </c:pt>
                <c:pt idx="33">
                  <c:v>-4.3049933481595364</c:v>
                </c:pt>
                <c:pt idx="34">
                  <c:v>-5.6815160983104427</c:v>
                </c:pt>
                <c:pt idx="35">
                  <c:v>-3.3919081212136528</c:v>
                </c:pt>
                <c:pt idx="36">
                  <c:v>-4.4466673765875289</c:v>
                </c:pt>
                <c:pt idx="37">
                  <c:v>-4.4782836464191824</c:v>
                </c:pt>
                <c:pt idx="38">
                  <c:v>-4.5809332586484599</c:v>
                </c:pt>
                <c:pt idx="39">
                  <c:v>-0.1573856507242577</c:v>
                </c:pt>
                <c:pt idx="40">
                  <c:v>-4.238049960298361</c:v>
                </c:pt>
                <c:pt idx="41">
                  <c:v>-4.2063801526541331</c:v>
                </c:pt>
                <c:pt idx="42">
                  <c:v>-3.9817766071051279</c:v>
                </c:pt>
                <c:pt idx="43">
                  <c:v>-5.5303652000402321</c:v>
                </c:pt>
                <c:pt idx="44">
                  <c:v>-6.4454030545972136</c:v>
                </c:pt>
                <c:pt idx="45">
                  <c:v>-4.0848794571563269</c:v>
                </c:pt>
                <c:pt idx="46">
                  <c:v>-5.2089425390590263</c:v>
                </c:pt>
                <c:pt idx="47">
                  <c:v>-4.5767263429048839</c:v>
                </c:pt>
                <c:pt idx="48">
                  <c:v>-2.1809512063108869</c:v>
                </c:pt>
                <c:pt idx="49">
                  <c:v>-5.2875480509106083</c:v>
                </c:pt>
                <c:pt idx="50">
                  <c:v>-2.7360836920675013</c:v>
                </c:pt>
                <c:pt idx="51">
                  <c:v>-6.546802382619811</c:v>
                </c:pt>
              </c:numCache>
            </c:numRef>
          </c:xVal>
          <c:yVal>
            <c:numRef>
              <c:f>RegLogistic!$I$2:$I$53</c:f>
              <c:numCache>
                <c:formatCode>General</c:formatCode>
                <c:ptCount val="52"/>
                <c:pt idx="0">
                  <c:v>0.99257183634828827</c:v>
                </c:pt>
                <c:pt idx="1">
                  <c:v>0.821281382381159</c:v>
                </c:pt>
                <c:pt idx="2">
                  <c:v>0.88936060359116931</c:v>
                </c:pt>
                <c:pt idx="3">
                  <c:v>0.83202674410237198</c:v>
                </c:pt>
                <c:pt idx="4">
                  <c:v>0.95013344501769381</c:v>
                </c:pt>
                <c:pt idx="5">
                  <c:v>0.90092735918717293</c:v>
                </c:pt>
                <c:pt idx="6">
                  <c:v>0.70328649559174794</c:v>
                </c:pt>
                <c:pt idx="7">
                  <c:v>0.99276011392338381</c:v>
                </c:pt>
                <c:pt idx="8">
                  <c:v>0.90500620636339768</c:v>
                </c:pt>
                <c:pt idx="9">
                  <c:v>0.90438386775849322</c:v>
                </c:pt>
                <c:pt idx="10">
                  <c:v>0.94748590346648753</c:v>
                </c:pt>
                <c:pt idx="11">
                  <c:v>0.94706582170151343</c:v>
                </c:pt>
                <c:pt idx="12">
                  <c:v>0.95746967261098148</c:v>
                </c:pt>
                <c:pt idx="13">
                  <c:v>0.98582915180560649</c:v>
                </c:pt>
                <c:pt idx="14">
                  <c:v>0.97499444906240618</c:v>
                </c:pt>
                <c:pt idx="15">
                  <c:v>0.6501457714593597</c:v>
                </c:pt>
                <c:pt idx="16">
                  <c:v>0.83938637688400397</c:v>
                </c:pt>
                <c:pt idx="17">
                  <c:v>0.96188674532188845</c:v>
                </c:pt>
                <c:pt idx="18">
                  <c:v>0.98839544136573021</c:v>
                </c:pt>
                <c:pt idx="19">
                  <c:v>0.81678545286337378</c:v>
                </c:pt>
                <c:pt idx="20">
                  <c:v>0.98204516774165063</c:v>
                </c:pt>
                <c:pt idx="21">
                  <c:v>0.55708599086888333</c:v>
                </c:pt>
                <c:pt idx="22">
                  <c:v>0.50923017748358235</c:v>
                </c:pt>
                <c:pt idx="23">
                  <c:v>0.91776190275463254</c:v>
                </c:pt>
                <c:pt idx="24">
                  <c:v>0.83985693568506536</c:v>
                </c:pt>
                <c:pt idx="25">
                  <c:v>0.93416933637987465</c:v>
                </c:pt>
                <c:pt idx="26">
                  <c:v>0.19021115229626687</c:v>
                </c:pt>
                <c:pt idx="27">
                  <c:v>0.43331041916401619</c:v>
                </c:pt>
                <c:pt idx="28">
                  <c:v>3.648955146447086E-2</c:v>
                </c:pt>
                <c:pt idx="29">
                  <c:v>3.1196152721586545E-2</c:v>
                </c:pt>
                <c:pt idx="30">
                  <c:v>0.28012488009470782</c:v>
                </c:pt>
                <c:pt idx="31">
                  <c:v>0.61036332837049123</c:v>
                </c:pt>
                <c:pt idx="32">
                  <c:v>0.45916867397472311</c:v>
                </c:pt>
                <c:pt idx="33">
                  <c:v>1.3321127138732255E-2</c:v>
                </c:pt>
                <c:pt idx="34">
                  <c:v>3.3968094329838829E-3</c:v>
                </c:pt>
                <c:pt idx="35">
                  <c:v>3.2549315218182953E-2</c:v>
                </c:pt>
                <c:pt idx="36">
                  <c:v>1.1581841331574413E-2</c:v>
                </c:pt>
                <c:pt idx="37">
                  <c:v>1.1225440895941307E-2</c:v>
                </c:pt>
                <c:pt idx="38">
                  <c:v>1.0141428010636203E-2</c:v>
                </c:pt>
                <c:pt idx="39">
                  <c:v>0.46073460499255581</c:v>
                </c:pt>
                <c:pt idx="40">
                  <c:v>1.4230290221823188E-2</c:v>
                </c:pt>
                <c:pt idx="41">
                  <c:v>1.4681450652409889E-2</c:v>
                </c:pt>
                <c:pt idx="42">
                  <c:v>1.8310927707571242E-2</c:v>
                </c:pt>
                <c:pt idx="43">
                  <c:v>3.9488854559656473E-3</c:v>
                </c:pt>
                <c:pt idx="44">
                  <c:v>1.5852873418714364E-3</c:v>
                </c:pt>
                <c:pt idx="45">
                  <c:v>1.6546765252811776E-2</c:v>
                </c:pt>
                <c:pt idx="46">
                  <c:v>5.4377217649078059E-3</c:v>
                </c:pt>
                <c:pt idx="47">
                  <c:v>1.0183746616065139E-2</c:v>
                </c:pt>
                <c:pt idx="48">
                  <c:v>0.10147416672452544</c:v>
                </c:pt>
                <c:pt idx="49">
                  <c:v>5.0287217158921059E-3</c:v>
                </c:pt>
                <c:pt idx="50">
                  <c:v>6.087741928797126E-2</c:v>
                </c:pt>
                <c:pt idx="51">
                  <c:v>1.4326404765030091E-3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1C-470F-A770-442A7EA29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5754000"/>
        <c:axId val="1857911984"/>
      </c:scatterChart>
      <c:valAx>
        <c:axId val="1535754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857911984"/>
        <c:crosses val="autoZero"/>
        <c:crossBetween val="midCat"/>
      </c:valAx>
      <c:valAx>
        <c:axId val="1857911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535754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19</xdr:row>
          <xdr:rowOff>114300</xdr:rowOff>
        </xdr:from>
        <xdr:to>
          <xdr:col>2</xdr:col>
          <xdr:colOff>219075</xdr:colOff>
          <xdr:row>22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 m,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22</xdr:row>
          <xdr:rowOff>85725</xdr:rowOff>
        </xdr:from>
        <xdr:to>
          <xdr:col>2</xdr:col>
          <xdr:colOff>238125</xdr:colOff>
          <xdr:row>24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Epoch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714374</xdr:colOff>
      <xdr:row>1</xdr:row>
      <xdr:rowOff>14287</xdr:rowOff>
    </xdr:from>
    <xdr:to>
      <xdr:col>16</xdr:col>
      <xdr:colOff>38099</xdr:colOff>
      <xdr:row>21</xdr:row>
      <xdr:rowOff>142875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66675</xdr:rowOff>
        </xdr:from>
        <xdr:to>
          <xdr:col>1</xdr:col>
          <xdr:colOff>400050</xdr:colOff>
          <xdr:row>5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 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9524</xdr:rowOff>
    </xdr:from>
    <xdr:to>
      <xdr:col>19</xdr:col>
      <xdr:colOff>19050</xdr:colOff>
      <xdr:row>28</xdr:row>
      <xdr:rowOff>190499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10</xdr:row>
          <xdr:rowOff>142875</xdr:rowOff>
        </xdr:from>
        <xdr:to>
          <xdr:col>2</xdr:col>
          <xdr:colOff>323850</xdr:colOff>
          <xdr:row>13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Epoch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28574</xdr:colOff>
      <xdr:row>1</xdr:row>
      <xdr:rowOff>9525</xdr:rowOff>
    </xdr:from>
    <xdr:to>
      <xdr:col>18</xdr:col>
      <xdr:colOff>95249</xdr:colOff>
      <xdr:row>22</xdr:row>
      <xdr:rowOff>47625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7</xdr:row>
          <xdr:rowOff>28575</xdr:rowOff>
        </xdr:from>
        <xdr:to>
          <xdr:col>2</xdr:col>
          <xdr:colOff>314325</xdr:colOff>
          <xdr:row>9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 1</a:t>
              </a:r>
            </a:p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Theta1, Theta2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F53"/>
  <sheetViews>
    <sheetView tabSelected="1" workbookViewId="0">
      <selection activeCell="D1" sqref="D1"/>
    </sheetView>
  </sheetViews>
  <sheetFormatPr baseColWidth="10" defaultRowHeight="15" x14ac:dyDescent="0.25"/>
  <cols>
    <col min="1" max="1" width="7.42578125" customWidth="1"/>
    <col min="2" max="3" width="6.140625" customWidth="1"/>
    <col min="4" max="4" width="3.7109375" customWidth="1"/>
    <col min="5" max="6" width="11.42578125" style="29"/>
  </cols>
  <sheetData>
    <row r="1" spans="1:6" x14ac:dyDescent="0.25">
      <c r="A1" s="7" t="s">
        <v>8</v>
      </c>
      <c r="B1" s="9">
        <v>0.18475234508514404</v>
      </c>
      <c r="C1" s="6"/>
      <c r="E1" s="27" t="s">
        <v>1</v>
      </c>
      <c r="F1" s="27" t="s">
        <v>2</v>
      </c>
    </row>
    <row r="2" spans="1:6" x14ac:dyDescent="0.25">
      <c r="A2" s="4" t="s">
        <v>9</v>
      </c>
      <c r="B2" s="9">
        <v>-1.0474205017089844</v>
      </c>
      <c r="C2" s="5"/>
      <c r="E2" s="28">
        <v>0</v>
      </c>
      <c r="F2" s="28">
        <v>3.1496769189834595</v>
      </c>
    </row>
    <row r="3" spans="1:6" x14ac:dyDescent="0.25">
      <c r="A3" s="4" t="s">
        <v>32</v>
      </c>
      <c r="B3" s="8">
        <v>5</v>
      </c>
      <c r="C3" s="5"/>
      <c r="E3" s="28">
        <v>0.2</v>
      </c>
      <c r="F3" s="28">
        <v>-5.3442891836166382</v>
      </c>
    </row>
    <row r="4" spans="1:6" x14ac:dyDescent="0.25">
      <c r="E4" s="28">
        <v>0.4</v>
      </c>
      <c r="F4" s="28">
        <v>-2.8671799898147583</v>
      </c>
    </row>
    <row r="5" spans="1:6" x14ac:dyDescent="0.25">
      <c r="E5" s="28">
        <v>0.60000000000000009</v>
      </c>
      <c r="F5" s="28">
        <v>3.4597741365432739</v>
      </c>
    </row>
    <row r="6" spans="1:6" x14ac:dyDescent="0.25">
      <c r="E6" s="28">
        <v>0.8</v>
      </c>
      <c r="F6" s="28">
        <v>-5.497109055519104</v>
      </c>
    </row>
    <row r="7" spans="1:6" x14ac:dyDescent="0.25">
      <c r="E7" s="28">
        <v>1</v>
      </c>
      <c r="F7" s="28">
        <v>2.1381646394729614</v>
      </c>
    </row>
    <row r="8" spans="1:6" x14ac:dyDescent="0.25">
      <c r="A8" s="4" t="s">
        <v>10</v>
      </c>
      <c r="B8" s="8">
        <v>0.01</v>
      </c>
      <c r="E8" s="28">
        <v>1.2</v>
      </c>
      <c r="F8" s="28">
        <v>-1.2937899827957153</v>
      </c>
    </row>
    <row r="9" spans="1:6" x14ac:dyDescent="0.25">
      <c r="A9" s="5"/>
      <c r="B9" s="5">
        <v>0</v>
      </c>
      <c r="E9" s="28">
        <v>1.4</v>
      </c>
      <c r="F9" s="28">
        <v>0.91888439655303955</v>
      </c>
    </row>
    <row r="10" spans="1:6" x14ac:dyDescent="0.25">
      <c r="A10" s="4" t="s">
        <v>11</v>
      </c>
      <c r="B10" s="8">
        <v>1230</v>
      </c>
      <c r="E10" s="28">
        <v>1.5999999999999999</v>
      </c>
      <c r="F10" s="28">
        <v>0.92186319828033447</v>
      </c>
    </row>
    <row r="11" spans="1:6" x14ac:dyDescent="0.25">
      <c r="E11" s="28">
        <v>1.7999999999999998</v>
      </c>
      <c r="F11" s="28">
        <v>-3.8711313009262085</v>
      </c>
    </row>
    <row r="12" spans="1:6" x14ac:dyDescent="0.25">
      <c r="A12" s="30" t="s">
        <v>8</v>
      </c>
      <c r="B12" s="3">
        <v>6.8805545030205056E-2</v>
      </c>
      <c r="E12" s="28">
        <v>1.9999999999999998</v>
      </c>
      <c r="F12" s="28">
        <v>-0.77241718769073486</v>
      </c>
    </row>
    <row r="13" spans="1:6" x14ac:dyDescent="0.25">
      <c r="A13" s="30" t="s">
        <v>9</v>
      </c>
      <c r="B13" s="3">
        <v>-0.93827709001718496</v>
      </c>
      <c r="E13" s="28">
        <v>2.1999999999999997</v>
      </c>
      <c r="F13" s="28">
        <v>1.7523995637893677</v>
      </c>
    </row>
    <row r="14" spans="1:6" x14ac:dyDescent="0.25">
      <c r="E14" s="28">
        <v>2.4</v>
      </c>
      <c r="F14" s="28">
        <v>-4.8797785043716431</v>
      </c>
    </row>
    <row r="15" spans="1:6" x14ac:dyDescent="0.25">
      <c r="A15" s="31" t="s">
        <v>5</v>
      </c>
      <c r="B15" s="32"/>
      <c r="E15" s="28">
        <v>2.6</v>
      </c>
      <c r="F15" s="28">
        <v>3.8839303255081177</v>
      </c>
    </row>
    <row r="16" spans="1:6" x14ac:dyDescent="0.25">
      <c r="A16" s="10" t="s">
        <v>1</v>
      </c>
      <c r="B16" s="10" t="s">
        <v>2</v>
      </c>
      <c r="E16" s="28">
        <v>2.8000000000000003</v>
      </c>
      <c r="F16" s="28">
        <v>-3.1609717607498169</v>
      </c>
    </row>
    <row r="17" spans="1:6" x14ac:dyDescent="0.25">
      <c r="A17" s="11">
        <v>0</v>
      </c>
      <c r="B17" s="12">
        <f>$B$12*A17+$B$13</f>
        <v>-0.93827709001718496</v>
      </c>
      <c r="E17" s="28">
        <v>3.0000000000000004</v>
      </c>
      <c r="F17" s="28">
        <v>-3.6678379774093628</v>
      </c>
    </row>
    <row r="18" spans="1:6" x14ac:dyDescent="0.25">
      <c r="A18" s="12">
        <v>5</v>
      </c>
      <c r="B18" s="12">
        <f>$B$12*A18+$B$13</f>
        <v>-0.59424936486615965</v>
      </c>
      <c r="E18" s="28">
        <v>3.2000000000000006</v>
      </c>
      <c r="F18" s="28">
        <v>2.4382511377334595</v>
      </c>
    </row>
    <row r="19" spans="1:6" x14ac:dyDescent="0.25">
      <c r="A19" s="12">
        <v>2.5</v>
      </c>
      <c r="B19" s="12">
        <f>$B$12*A19+$B$13</f>
        <v>-0.7662632274416723</v>
      </c>
      <c r="E19" s="28">
        <v>3.4000000000000008</v>
      </c>
      <c r="F19" s="28">
        <v>-1.7207883596420288</v>
      </c>
    </row>
    <row r="20" spans="1:6" x14ac:dyDescent="0.25">
      <c r="E20" s="28">
        <v>3.600000000000001</v>
      </c>
      <c r="F20" s="28">
        <v>-3.2079888582229614</v>
      </c>
    </row>
    <row r="21" spans="1:6" x14ac:dyDescent="0.25">
      <c r="E21" s="28">
        <v>3.8000000000000012</v>
      </c>
      <c r="F21" s="28">
        <v>1.4430352449417116</v>
      </c>
    </row>
    <row r="22" spans="1:6" x14ac:dyDescent="0.25">
      <c r="E22" s="28">
        <v>4.0000000000000009</v>
      </c>
      <c r="F22" s="28">
        <v>1.8527179956436157</v>
      </c>
    </row>
    <row r="23" spans="1:6" x14ac:dyDescent="0.25">
      <c r="E23" s="28">
        <v>4.2000000000000011</v>
      </c>
      <c r="F23" s="28">
        <v>0.11852657794952415</v>
      </c>
    </row>
    <row r="24" spans="1:6" x14ac:dyDescent="0.25">
      <c r="E24" s="28">
        <v>4.4000000000000012</v>
      </c>
      <c r="F24" s="28">
        <v>-1.0526286363601682</v>
      </c>
    </row>
    <row r="25" spans="1:6" x14ac:dyDescent="0.25">
      <c r="E25" s="28">
        <v>4.6000000000000014</v>
      </c>
      <c r="F25" s="28">
        <v>4.2894135713577271</v>
      </c>
    </row>
    <row r="26" spans="1:6" x14ac:dyDescent="0.25">
      <c r="E26" s="28">
        <v>4.8000000000000016</v>
      </c>
      <c r="F26" s="28">
        <v>3.1871219873428349</v>
      </c>
    </row>
    <row r="27" spans="1:6" x14ac:dyDescent="0.25">
      <c r="E27" s="28">
        <v>5.0000000000000018</v>
      </c>
      <c r="F27" s="28">
        <v>-3.2877916097640987</v>
      </c>
    </row>
    <row r="28" spans="1:6" x14ac:dyDescent="0.25">
      <c r="E28" s="28">
        <v>0</v>
      </c>
      <c r="F28" s="28">
        <v>-5.685388445854187</v>
      </c>
    </row>
    <row r="29" spans="1:6" x14ac:dyDescent="0.25">
      <c r="E29" s="28">
        <v>0.2</v>
      </c>
      <c r="F29" s="28">
        <v>-4.5489403009414673</v>
      </c>
    </row>
    <row r="30" spans="1:6" x14ac:dyDescent="0.25">
      <c r="E30" s="28">
        <v>0.4</v>
      </c>
      <c r="F30" s="28">
        <v>0.8933485746383667</v>
      </c>
    </row>
    <row r="31" spans="1:6" x14ac:dyDescent="0.25">
      <c r="E31" s="28">
        <v>0.60000000000000009</v>
      </c>
      <c r="F31" s="28">
        <v>-4.2739106416702271</v>
      </c>
    </row>
    <row r="32" spans="1:6" x14ac:dyDescent="0.25">
      <c r="E32" s="28">
        <v>0.8</v>
      </c>
      <c r="F32" s="28">
        <v>-3.605254054069519</v>
      </c>
    </row>
    <row r="33" spans="5:6" x14ac:dyDescent="0.25">
      <c r="E33" s="28">
        <v>1</v>
      </c>
      <c r="F33" s="28">
        <v>-5.5892473459243774</v>
      </c>
    </row>
    <row r="34" spans="5:6" x14ac:dyDescent="0.25">
      <c r="E34" s="28">
        <v>1.2</v>
      </c>
      <c r="F34" s="28">
        <v>-5.5974801778793335</v>
      </c>
    </row>
    <row r="35" spans="5:6" x14ac:dyDescent="0.25">
      <c r="E35" s="28">
        <v>1.4</v>
      </c>
      <c r="F35" s="28">
        <v>3.599850058555603</v>
      </c>
    </row>
    <row r="36" spans="5:6" x14ac:dyDescent="0.25">
      <c r="E36" s="28">
        <v>1.5999999999999999</v>
      </c>
      <c r="F36" s="28">
        <v>-2.0839728116989136</v>
      </c>
    </row>
    <row r="37" spans="5:6" x14ac:dyDescent="0.25">
      <c r="E37" s="28">
        <v>1.7999999999999998</v>
      </c>
      <c r="F37" s="28">
        <v>-5.5654827356338501</v>
      </c>
    </row>
    <row r="38" spans="5:6" x14ac:dyDescent="0.25">
      <c r="E38" s="28">
        <v>1.9999999999999998</v>
      </c>
      <c r="F38" s="28">
        <v>2.5783461332321167</v>
      </c>
    </row>
    <row r="39" spans="5:6" x14ac:dyDescent="0.25">
      <c r="E39" s="28">
        <v>2.1999999999999997</v>
      </c>
      <c r="F39" s="28">
        <v>-2.7035542726516724</v>
      </c>
    </row>
    <row r="40" spans="5:6" x14ac:dyDescent="0.25">
      <c r="E40" s="28">
        <v>2.4</v>
      </c>
      <c r="F40" s="28">
        <v>-2.8232048749923706</v>
      </c>
    </row>
    <row r="41" spans="5:6" x14ac:dyDescent="0.25">
      <c r="E41" s="28">
        <v>2.6</v>
      </c>
      <c r="F41" s="28">
        <v>3.6584590673446655</v>
      </c>
    </row>
    <row r="42" spans="5:6" x14ac:dyDescent="0.25">
      <c r="E42" s="28">
        <v>2.8000000000000003</v>
      </c>
      <c r="F42" s="28">
        <v>-0.68495309352874756</v>
      </c>
    </row>
    <row r="43" spans="5:6" x14ac:dyDescent="0.25">
      <c r="E43" s="28">
        <v>3.0000000000000004</v>
      </c>
      <c r="F43" s="28">
        <v>-2.3626738786697388</v>
      </c>
    </row>
    <row r="44" spans="5:6" x14ac:dyDescent="0.25">
      <c r="E44" s="28">
        <v>3.2000000000000006</v>
      </c>
      <c r="F44" s="28">
        <v>-5.4152354001998901</v>
      </c>
    </row>
    <row r="45" spans="5:6" x14ac:dyDescent="0.25">
      <c r="E45" s="28">
        <v>3.4000000000000008</v>
      </c>
      <c r="F45" s="28">
        <v>-4.6011291742324829</v>
      </c>
    </row>
    <row r="46" spans="5:6" x14ac:dyDescent="0.25">
      <c r="E46" s="28">
        <v>3.600000000000001</v>
      </c>
      <c r="F46" s="28">
        <v>-2.8249038457870483</v>
      </c>
    </row>
    <row r="47" spans="5:6" x14ac:dyDescent="0.25">
      <c r="E47" s="28">
        <v>3.8000000000000012</v>
      </c>
      <c r="F47" s="28">
        <v>1.2398990392684939</v>
      </c>
    </row>
    <row r="48" spans="5:6" x14ac:dyDescent="0.25">
      <c r="E48" s="28">
        <v>4.0000000000000009</v>
      </c>
      <c r="F48" s="28">
        <v>-4.8429745435714722</v>
      </c>
    </row>
    <row r="49" spans="5:6" x14ac:dyDescent="0.25">
      <c r="E49" s="28">
        <v>4.2000000000000011</v>
      </c>
      <c r="F49" s="28">
        <v>-4.8372980356216431</v>
      </c>
    </row>
    <row r="50" spans="5:6" x14ac:dyDescent="0.25">
      <c r="E50" s="28">
        <v>4.4000000000000012</v>
      </c>
      <c r="F50" s="28">
        <v>-3.9697526693344116</v>
      </c>
    </row>
    <row r="51" spans="5:6" x14ac:dyDescent="0.25">
      <c r="E51" s="28">
        <v>4.6000000000000014</v>
      </c>
      <c r="F51" s="28">
        <v>-3.9489032030105591</v>
      </c>
    </row>
    <row r="52" spans="5:6" x14ac:dyDescent="0.25">
      <c r="E52" s="28">
        <v>4.8000000000000016</v>
      </c>
      <c r="F52" s="28">
        <v>-3.9799574613571163</v>
      </c>
    </row>
    <row r="53" spans="5:6" x14ac:dyDescent="0.25">
      <c r="E53" s="28">
        <v>5.0000000000000018</v>
      </c>
      <c r="F53" s="28">
        <v>-1.3629108667373653</v>
      </c>
    </row>
  </sheetData>
  <mergeCells count="1">
    <mergeCell ref="A15:B15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_B_Initial_Random">
                <anchor moveWithCells="1" sizeWithCells="1">
                  <from>
                    <xdr:col>0</xdr:col>
                    <xdr:colOff>9525</xdr:colOff>
                    <xdr:row>19</xdr:row>
                    <xdr:rowOff>114300</xdr:rowOff>
                  </from>
                  <to>
                    <xdr:col>2</xdr:col>
                    <xdr:colOff>219075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radientDescent">
                <anchor moveWithCells="1" sizeWithCells="1">
                  <from>
                    <xdr:col>0</xdr:col>
                    <xdr:colOff>28575</xdr:colOff>
                    <xdr:row>22</xdr:row>
                    <xdr:rowOff>85725</xdr:rowOff>
                  </from>
                  <to>
                    <xdr:col>2</xdr:col>
                    <xdr:colOff>238125</xdr:colOff>
                    <xdr:row>24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andom_Y">
                <anchor moveWithCells="1" sizeWithCells="1">
                  <from>
                    <xdr:col>0</xdr:col>
                    <xdr:colOff>19050</xdr:colOff>
                    <xdr:row>3</xdr:row>
                    <xdr:rowOff>66675</xdr:rowOff>
                  </from>
                  <to>
                    <xdr:col>1</xdr:col>
                    <xdr:colOff>400050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P24"/>
  <sheetViews>
    <sheetView workbookViewId="0"/>
  </sheetViews>
  <sheetFormatPr baseColWidth="10" defaultRowHeight="15" x14ac:dyDescent="0.25"/>
  <cols>
    <col min="1" max="1" width="18.140625" bestFit="1" customWidth="1"/>
    <col min="3" max="3" width="14.42578125" bestFit="1" customWidth="1"/>
    <col min="4" max="4" width="14.7109375" bestFit="1" customWidth="1"/>
    <col min="5" max="5" width="17.42578125" customWidth="1"/>
    <col min="6" max="6" width="1.28515625" customWidth="1"/>
    <col min="7" max="16" width="8.42578125" customWidth="1"/>
  </cols>
  <sheetData>
    <row r="1" spans="1:16" x14ac:dyDescent="0.25">
      <c r="A1" s="4" t="s">
        <v>18</v>
      </c>
      <c r="B1" s="25"/>
      <c r="C1" s="4" t="s">
        <v>19</v>
      </c>
      <c r="D1" s="4" t="s">
        <v>20</v>
      </c>
      <c r="E1" s="4" t="s">
        <v>21</v>
      </c>
    </row>
    <row r="2" spans="1:16" x14ac:dyDescent="0.25">
      <c r="A2" s="17" t="s">
        <v>2</v>
      </c>
      <c r="B2" s="36" t="s">
        <v>1</v>
      </c>
      <c r="C2" s="36"/>
      <c r="D2" s="36"/>
      <c r="E2" s="37"/>
      <c r="G2" s="38" t="s">
        <v>22</v>
      </c>
      <c r="H2" s="39"/>
      <c r="I2" s="39"/>
      <c r="J2" s="39"/>
      <c r="K2" s="39"/>
      <c r="L2" s="39"/>
      <c r="M2" s="39"/>
      <c r="N2" s="39"/>
      <c r="O2" s="39"/>
      <c r="P2" s="40"/>
    </row>
    <row r="3" spans="1:16" x14ac:dyDescent="0.25">
      <c r="A3" s="18">
        <v>72350</v>
      </c>
      <c r="B3" s="19">
        <v>1</v>
      </c>
      <c r="C3" s="19">
        <v>250</v>
      </c>
      <c r="D3" s="19">
        <v>65</v>
      </c>
      <c r="E3" s="19">
        <v>0.2</v>
      </c>
      <c r="G3" s="19">
        <v>1</v>
      </c>
      <c r="H3" s="19">
        <v>1</v>
      </c>
      <c r="I3" s="19">
        <v>1</v>
      </c>
      <c r="J3" s="19">
        <v>1</v>
      </c>
      <c r="K3" s="19">
        <v>1</v>
      </c>
      <c r="L3" s="19">
        <v>1</v>
      </c>
      <c r="M3" s="19">
        <v>1</v>
      </c>
      <c r="N3" s="19">
        <v>1</v>
      </c>
      <c r="O3" s="19">
        <v>1</v>
      </c>
      <c r="P3" s="19">
        <v>1</v>
      </c>
    </row>
    <row r="4" spans="1:16" x14ac:dyDescent="0.25">
      <c r="A4" s="18">
        <v>78707.953219551884</v>
      </c>
      <c r="B4" s="19">
        <v>1</v>
      </c>
      <c r="C4" s="20">
        <v>251.30158616697298</v>
      </c>
      <c r="D4" s="20">
        <v>72.481284438248835</v>
      </c>
      <c r="E4" s="21">
        <v>0.47446998475317637</v>
      </c>
      <c r="G4" s="19">
        <v>250</v>
      </c>
      <c r="H4" s="20">
        <v>251.30158616697298</v>
      </c>
      <c r="I4" s="20">
        <v>275.97059749287189</v>
      </c>
      <c r="J4" s="20">
        <v>302.48750055380674</v>
      </c>
      <c r="K4" s="20">
        <v>358.36149139878808</v>
      </c>
      <c r="L4" s="20">
        <v>392.41263708660944</v>
      </c>
      <c r="M4" s="20">
        <v>453.19246663984671</v>
      </c>
      <c r="N4" s="20">
        <v>528.88469887048063</v>
      </c>
      <c r="O4" s="20">
        <v>530.40441896225377</v>
      </c>
      <c r="P4" s="20">
        <v>552.04950750717887</v>
      </c>
    </row>
    <row r="5" spans="1:16" x14ac:dyDescent="0.25">
      <c r="A5" s="18">
        <v>83032.282822385867</v>
      </c>
      <c r="B5" s="19">
        <v>1</v>
      </c>
      <c r="C5" s="20">
        <v>275.97059749287189</v>
      </c>
      <c r="D5" s="20">
        <v>90.161580644798534</v>
      </c>
      <c r="E5" s="21">
        <v>0.42610754702116077</v>
      </c>
      <c r="G5" s="19">
        <v>65</v>
      </c>
      <c r="H5" s="20">
        <v>72.481284438248835</v>
      </c>
      <c r="I5" s="20">
        <v>90.161580644798534</v>
      </c>
      <c r="J5" s="20">
        <v>121.89002339156606</v>
      </c>
      <c r="K5" s="20">
        <v>152.28042268779899</v>
      </c>
      <c r="L5" s="20">
        <v>201.10118871635115</v>
      </c>
      <c r="M5" s="20">
        <v>272.01742632582636</v>
      </c>
      <c r="N5" s="20">
        <v>297.00576657428974</v>
      </c>
      <c r="O5" s="20">
        <v>306.53078709319141</v>
      </c>
      <c r="P5" s="20">
        <v>353.74024734329316</v>
      </c>
    </row>
    <row r="6" spans="1:16" x14ac:dyDescent="0.25">
      <c r="A6" s="18">
        <v>88011.427840148084</v>
      </c>
      <c r="B6" s="19">
        <v>1</v>
      </c>
      <c r="C6" s="20">
        <v>302.48750055380674</v>
      </c>
      <c r="D6" s="20">
        <v>121.89002339156606</v>
      </c>
      <c r="E6" s="21">
        <v>0.33341003259180663</v>
      </c>
      <c r="G6" s="19">
        <v>0.2</v>
      </c>
      <c r="H6" s="21">
        <v>0.47446998475317637</v>
      </c>
      <c r="I6" s="21">
        <v>0.42610754702116077</v>
      </c>
      <c r="J6" s="21">
        <v>0.33341003259180663</v>
      </c>
      <c r="K6" s="21">
        <v>0.48829071628314646</v>
      </c>
      <c r="L6" s="21">
        <v>0.33594427295059054</v>
      </c>
      <c r="M6" s="21">
        <v>0.2826660432317285</v>
      </c>
      <c r="N6" s="21">
        <v>0.29015269432100094</v>
      </c>
      <c r="O6" s="21">
        <v>0.43144147267570743</v>
      </c>
      <c r="P6" s="21">
        <v>0.43732024209650405</v>
      </c>
    </row>
    <row r="7" spans="1:16" x14ac:dyDescent="0.25">
      <c r="A7" s="18">
        <v>102225.27607738304</v>
      </c>
      <c r="B7" s="19">
        <v>1</v>
      </c>
      <c r="C7" s="20">
        <v>358.36149139878808</v>
      </c>
      <c r="D7" s="20">
        <v>152.28042268779899</v>
      </c>
      <c r="E7" s="21">
        <v>0.48829071628314646</v>
      </c>
    </row>
    <row r="8" spans="1:16" x14ac:dyDescent="0.25">
      <c r="A8" s="18">
        <v>108679.88800647484</v>
      </c>
      <c r="B8" s="19">
        <v>1</v>
      </c>
      <c r="C8" s="20">
        <v>392.41263708660944</v>
      </c>
      <c r="D8" s="20">
        <v>201.10118871635115</v>
      </c>
      <c r="E8" s="21">
        <v>0.33594427295059054</v>
      </c>
      <c r="G8" s="36" t="s">
        <v>23</v>
      </c>
      <c r="H8" s="36"/>
      <c r="I8" s="36"/>
      <c r="J8" s="37"/>
      <c r="L8" s="36" t="s">
        <v>24</v>
      </c>
      <c r="M8" s="36"/>
      <c r="N8" s="36"/>
      <c r="O8" s="37"/>
    </row>
    <row r="9" spans="1:16" x14ac:dyDescent="0.25">
      <c r="A9" s="18">
        <v>123113.75922993595</v>
      </c>
      <c r="B9" s="19">
        <v>1</v>
      </c>
      <c r="C9" s="20">
        <v>453.19246663984671</v>
      </c>
      <c r="D9" s="20">
        <v>272.01742632582636</v>
      </c>
      <c r="E9" s="21">
        <v>0.2826660432317285</v>
      </c>
      <c r="G9" s="19">
        <f t="array" ref="G9:J12">MMULT(G3:P6,B3:E12)</f>
        <v>10</v>
      </c>
      <c r="H9" s="19">
        <v>3895.0649046788089</v>
      </c>
      <c r="I9" s="19">
        <v>1932.208727215364</v>
      </c>
      <c r="J9" s="19">
        <v>3.6998030059248213</v>
      </c>
      <c r="L9" s="19">
        <f t="array" ref="L9:O12">MINVERSE(G9:J12)</f>
        <v>16.968515410456867</v>
      </c>
      <c r="M9" s="19">
        <v>-8.7905922065458858E-2</v>
      </c>
      <c r="N9" s="19">
        <v>9.5670217382330433E-2</v>
      </c>
      <c r="O9" s="19">
        <v>-3.0111633232522697</v>
      </c>
    </row>
    <row r="10" spans="1:16" x14ac:dyDescent="0.25">
      <c r="A10" s="18">
        <v>136866.27770867819</v>
      </c>
      <c r="B10" s="19">
        <v>1</v>
      </c>
      <c r="C10" s="20">
        <v>528.88469887048063</v>
      </c>
      <c r="D10" s="20">
        <v>297.00576657428974</v>
      </c>
      <c r="E10" s="21">
        <v>0.29015269432100094</v>
      </c>
      <c r="G10" s="19">
        <v>3895.0649046788089</v>
      </c>
      <c r="H10" s="19">
        <v>1646911.5250567617</v>
      </c>
      <c r="I10" s="19">
        <v>867928.36989363353</v>
      </c>
      <c r="J10" s="19">
        <v>1446.314278542106</v>
      </c>
      <c r="L10" s="19">
        <v>-8.7905922065457956E-2</v>
      </c>
      <c r="M10" s="19">
        <v>5.1891647607593585E-4</v>
      </c>
      <c r="N10" s="19">
        <v>-5.7482769233526483E-4</v>
      </c>
      <c r="O10" s="19">
        <v>-8.5050609296604338E-3</v>
      </c>
    </row>
    <row r="11" spans="1:16" x14ac:dyDescent="0.25">
      <c r="A11" s="18">
        <v>140777.26313623946</v>
      </c>
      <c r="B11" s="19">
        <v>1</v>
      </c>
      <c r="C11" s="20">
        <v>530.40441896225377</v>
      </c>
      <c r="D11" s="20">
        <v>306.53078709319141</v>
      </c>
      <c r="E11" s="21">
        <v>0.43144147267570743</v>
      </c>
      <c r="G11" s="19">
        <v>1932.208727215364</v>
      </c>
      <c r="H11" s="19">
        <v>867928.36989363353</v>
      </c>
      <c r="I11" s="19">
        <v>477395.03188746102</v>
      </c>
      <c r="J11" s="19">
        <v>718.37896766233052</v>
      </c>
      <c r="L11" s="19">
        <v>9.5670217382329337E-2</v>
      </c>
      <c r="M11" s="19">
        <v>-5.7482769233526418E-4</v>
      </c>
      <c r="N11" s="19">
        <v>6.4638756110484911E-4</v>
      </c>
      <c r="O11" s="19">
        <v>9.0094824091115772E-3</v>
      </c>
    </row>
    <row r="12" spans="1:16" x14ac:dyDescent="0.25">
      <c r="A12" s="18">
        <v>148390.45322890329</v>
      </c>
      <c r="B12" s="19">
        <v>1</v>
      </c>
      <c r="C12" s="20">
        <v>552.04950750717887</v>
      </c>
      <c r="D12" s="20">
        <v>353.74024734329316</v>
      </c>
      <c r="E12" s="21">
        <v>0.43732024209650405</v>
      </c>
      <c r="G12" s="19">
        <v>3.6998030059248213</v>
      </c>
      <c r="H12" s="19">
        <v>1446.314278542106</v>
      </c>
      <c r="I12" s="19">
        <v>718.37896766233052</v>
      </c>
      <c r="J12" s="19">
        <v>1.4506174525394946</v>
      </c>
      <c r="L12" s="19">
        <v>-3.0111633232525974</v>
      </c>
      <c r="M12" s="19">
        <v>-8.5050609296585603E-3</v>
      </c>
      <c r="N12" s="19">
        <v>9.009482409109492E-3</v>
      </c>
      <c r="O12" s="19">
        <v>12.387469538195884</v>
      </c>
    </row>
    <row r="13" spans="1:16" x14ac:dyDescent="0.25">
      <c r="E13" s="22"/>
    </row>
    <row r="14" spans="1:16" x14ac:dyDescent="0.25">
      <c r="G14" s="38" t="s">
        <v>25</v>
      </c>
      <c r="H14" s="39"/>
      <c r="I14" s="39"/>
      <c r="J14" s="39"/>
      <c r="K14" s="39"/>
      <c r="L14" s="39"/>
      <c r="M14" s="39"/>
      <c r="N14" s="39"/>
      <c r="O14" s="39"/>
      <c r="P14" s="40"/>
    </row>
    <row r="15" spans="1:16" x14ac:dyDescent="0.25">
      <c r="G15" s="19">
        <f t="array" ref="G15:P18">MMULT(L9:O12,G3:P6)</f>
        <v>0.60836635929317728</v>
      </c>
      <c r="H15" s="19">
        <v>0.38321138422170886</v>
      </c>
      <c r="I15" s="19">
        <v>5.176417736163641E-2</v>
      </c>
      <c r="J15" s="19">
        <v>1.0353657338621631</v>
      </c>
      <c r="K15" s="19">
        <v>-1.4352038780481</v>
      </c>
      <c r="L15" s="19">
        <v>0.70093208419309194</v>
      </c>
      <c r="M15" s="19">
        <v>2.3030264436270786</v>
      </c>
      <c r="N15" s="19">
        <v>-1.9826726093795159</v>
      </c>
      <c r="O15" s="19">
        <v>-1.6304478090825716</v>
      </c>
      <c r="P15" s="19">
        <v>0.96565811395125611</v>
      </c>
    </row>
    <row r="16" spans="1:16" x14ac:dyDescent="0.25">
      <c r="G16" s="19">
        <v>2.7583847658016998E-3</v>
      </c>
      <c r="H16" s="19">
        <v>-3.2010341401545296E-3</v>
      </c>
      <c r="I16" s="19">
        <v>-1.5167610323892728E-4</v>
      </c>
      <c r="J16" s="19">
        <v>-3.8416077276776121E-3</v>
      </c>
      <c r="K16" s="19">
        <v>6.3658139576760562E-3</v>
      </c>
      <c r="L16" s="19">
        <v>-2.7322980069234754E-3</v>
      </c>
      <c r="M16" s="19">
        <v>-1.150412566283214E-2</v>
      </c>
      <c r="N16" s="19">
        <v>1.3346156368623772E-2</v>
      </c>
      <c r="O16" s="19">
        <v>7.4578489303581703E-3</v>
      </c>
      <c r="P16" s="19">
        <v>-8.4974623816324313E-3</v>
      </c>
    </row>
    <row r="17" spans="7:16" x14ac:dyDescent="0.25">
      <c r="G17" s="19">
        <v>-4.2196177478492081E-3</v>
      </c>
      <c r="H17" s="19">
        <v>2.340836180848402E-3</v>
      </c>
      <c r="I17" s="19">
        <v>-8.469916592559368E-4</v>
      </c>
      <c r="J17" s="19">
        <v>3.5840722454672509E-3</v>
      </c>
      <c r="K17" s="19">
        <v>-7.4944740961922158E-3</v>
      </c>
      <c r="L17" s="19">
        <v>3.1165576898764796E-3</v>
      </c>
      <c r="M17" s="19">
        <v>1.3537993124938386E-2</v>
      </c>
      <c r="N17" s="19">
        <v>-1.3752394895347492E-2</v>
      </c>
      <c r="O17" s="19">
        <v>-7.1961785428188993E-3</v>
      </c>
      <c r="P17" s="19">
        <v>1.0930197700332803E-2</v>
      </c>
    </row>
    <row r="18" spans="7:16" x14ac:dyDescent="0.25">
      <c r="G18" s="19">
        <v>-2.0743182914359437</v>
      </c>
      <c r="H18" s="19">
        <v>1.3820027147317582</v>
      </c>
      <c r="I18" s="19">
        <v>0.73239336379306685</v>
      </c>
      <c r="J18" s="19">
        <v>-0.35556530187069146</v>
      </c>
      <c r="K18" s="19">
        <v>1.3616045207562069</v>
      </c>
      <c r="L18" s="19">
        <v>-0.37533964134442588</v>
      </c>
      <c r="M18" s="19">
        <v>-0.913339647417581</v>
      </c>
      <c r="N18" s="19">
        <v>-1.2392340202281504</v>
      </c>
      <c r="O18" s="19">
        <v>0.58386661056458067</v>
      </c>
      <c r="P18" s="19">
        <v>0.89792969245117948</v>
      </c>
    </row>
    <row r="20" spans="7:16" x14ac:dyDescent="0.25">
      <c r="G20" s="23" t="s">
        <v>26</v>
      </c>
      <c r="I20" s="33" t="s">
        <v>27</v>
      </c>
      <c r="J20" s="34"/>
      <c r="K20" s="34"/>
      <c r="L20" s="35"/>
    </row>
    <row r="21" spans="7:16" x14ac:dyDescent="0.25">
      <c r="G21" s="19">
        <f t="array" ref="G21:G24">MMULT(G15:P18,A3:A12)</f>
        <v>24999.999999993015</v>
      </c>
      <c r="I21" s="24">
        <f t="array" ref="I21:L21">LINEST(A3:A12,C3:E12,TRUE,FALSE)</f>
        <v>20000.000000000011</v>
      </c>
      <c r="J21" s="24">
        <v>90.000000000000057</v>
      </c>
      <c r="K21" s="24">
        <v>149.99999999999997</v>
      </c>
      <c r="L21" s="24">
        <v>24999.999999999996</v>
      </c>
    </row>
    <row r="22" spans="7:16" x14ac:dyDescent="0.25">
      <c r="G22" s="19">
        <v>150.00000000005502</v>
      </c>
    </row>
    <row r="23" spans="7:16" x14ac:dyDescent="0.25">
      <c r="G23" s="19">
        <v>89.999999999965894</v>
      </c>
    </row>
    <row r="24" spans="7:16" x14ac:dyDescent="0.25">
      <c r="G24" s="19">
        <v>19999.999999999534</v>
      </c>
    </row>
  </sheetData>
  <mergeCells count="6">
    <mergeCell ref="I20:L20"/>
    <mergeCell ref="B2:E2"/>
    <mergeCell ref="G2:P2"/>
    <mergeCell ref="G8:J8"/>
    <mergeCell ref="L8:O8"/>
    <mergeCell ref="G14:P1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7"/>
  </sheetPr>
  <dimension ref="A1:G53"/>
  <sheetViews>
    <sheetView workbookViewId="0">
      <selection activeCell="B3" sqref="B3"/>
    </sheetView>
  </sheetViews>
  <sheetFormatPr baseColWidth="10" defaultRowHeight="15" x14ac:dyDescent="0.25"/>
  <cols>
    <col min="1" max="1" width="11" customWidth="1"/>
    <col min="2" max="3" width="6.140625" customWidth="1"/>
    <col min="4" max="4" width="3.7109375" customWidth="1"/>
    <col min="7" max="7" width="5.42578125" bestFit="1" customWidth="1"/>
  </cols>
  <sheetData>
    <row r="1" spans="1:7" x14ac:dyDescent="0.25">
      <c r="A1" s="2" t="s">
        <v>1</v>
      </c>
      <c r="B1" s="2" t="s">
        <v>2</v>
      </c>
      <c r="C1" s="2" t="s">
        <v>0</v>
      </c>
      <c r="E1" s="1" t="s">
        <v>3</v>
      </c>
      <c r="F1" s="1" t="s">
        <v>28</v>
      </c>
      <c r="G1" s="26" t="s">
        <v>29</v>
      </c>
    </row>
    <row r="2" spans="1:7" x14ac:dyDescent="0.25">
      <c r="A2" s="3">
        <f ca="1">RANDBETWEEN(-10,10)</f>
        <v>6</v>
      </c>
      <c r="B2" s="3">
        <v>8</v>
      </c>
      <c r="C2" s="3">
        <f t="shared" ref="C2" ca="1" si="0">RANDBETWEEN(-10,10)</f>
        <v>-5</v>
      </c>
      <c r="E2">
        <v>0</v>
      </c>
      <c r="F2">
        <f ca="1">-($A$2/$B$2)*E2-($C$2/$B$2) + RAND()*$B$6</f>
        <v>1.866589945146615</v>
      </c>
      <c r="G2" s="16" t="s">
        <v>30</v>
      </c>
    </row>
    <row r="3" spans="1:7" x14ac:dyDescent="0.25">
      <c r="E3">
        <f t="shared" ref="E3:E53" si="1">+E2+$B$4</f>
        <v>0.2</v>
      </c>
      <c r="F3">
        <f t="shared" ref="F3:F27" ca="1" si="2">-($A$2/$B$2)*E3-($C$2/$B$2) + RAND()*$B$6</f>
        <v>0.55437552513881039</v>
      </c>
      <c r="G3" s="16" t="s">
        <v>30</v>
      </c>
    </row>
    <row r="4" spans="1:7" x14ac:dyDescent="0.25">
      <c r="A4" s="4" t="s">
        <v>4</v>
      </c>
      <c r="B4" s="3">
        <v>0.2</v>
      </c>
      <c r="E4">
        <f t="shared" si="1"/>
        <v>0.4</v>
      </c>
      <c r="F4">
        <f t="shared" ca="1" si="2"/>
        <v>1.2191548560101215</v>
      </c>
      <c r="G4" s="16" t="s">
        <v>30</v>
      </c>
    </row>
    <row r="5" spans="1:7" x14ac:dyDescent="0.25">
      <c r="E5">
        <f t="shared" si="1"/>
        <v>0.60000000000000009</v>
      </c>
      <c r="F5">
        <v>1.3911107347759799</v>
      </c>
      <c r="G5" s="16" t="s">
        <v>30</v>
      </c>
    </row>
    <row r="6" spans="1:7" x14ac:dyDescent="0.25">
      <c r="A6" s="4" t="s">
        <v>6</v>
      </c>
      <c r="B6" s="3">
        <v>2</v>
      </c>
      <c r="E6">
        <f t="shared" si="1"/>
        <v>0.8</v>
      </c>
      <c r="F6">
        <f t="shared" ca="1" si="2"/>
        <v>1.7137054471193864</v>
      </c>
      <c r="G6" s="16" t="s">
        <v>30</v>
      </c>
    </row>
    <row r="7" spans="1:7" x14ac:dyDescent="0.25">
      <c r="A7" s="4" t="s">
        <v>7</v>
      </c>
      <c r="B7" s="3">
        <v>3</v>
      </c>
      <c r="E7">
        <f t="shared" si="1"/>
        <v>1</v>
      </c>
      <c r="F7">
        <f t="shared" ca="1" si="2"/>
        <v>1.865985361882162</v>
      </c>
      <c r="G7" s="16" t="s">
        <v>30</v>
      </c>
    </row>
    <row r="8" spans="1:7" x14ac:dyDescent="0.25">
      <c r="E8">
        <f t="shared" si="1"/>
        <v>1.2</v>
      </c>
      <c r="F8">
        <f t="shared" ca="1" si="2"/>
        <v>0.98898557653771668</v>
      </c>
      <c r="G8" s="16" t="s">
        <v>30</v>
      </c>
    </row>
    <row r="9" spans="1:7" x14ac:dyDescent="0.25">
      <c r="A9" s="4" t="s">
        <v>8</v>
      </c>
      <c r="B9" s="3">
        <f ca="1">-$A$2/$B$2</f>
        <v>-0.75</v>
      </c>
      <c r="E9">
        <f t="shared" si="1"/>
        <v>1.4</v>
      </c>
      <c r="F9">
        <f t="shared" ca="1" si="2"/>
        <v>1.3057825599421258</v>
      </c>
      <c r="G9" s="16" t="s">
        <v>30</v>
      </c>
    </row>
    <row r="10" spans="1:7" x14ac:dyDescent="0.25">
      <c r="A10" s="4" t="s">
        <v>9</v>
      </c>
      <c r="B10" s="3">
        <f ca="1">-$C$2/$B$2</f>
        <v>0.625</v>
      </c>
      <c r="E10">
        <f t="shared" si="1"/>
        <v>1.5999999999999999</v>
      </c>
      <c r="F10">
        <f t="shared" ca="1" si="2"/>
        <v>7.7942208916927935E-2</v>
      </c>
      <c r="G10" s="16" t="s">
        <v>30</v>
      </c>
    </row>
    <row r="11" spans="1:7" x14ac:dyDescent="0.25">
      <c r="E11">
        <f t="shared" si="1"/>
        <v>1.7999999999999998</v>
      </c>
      <c r="F11">
        <f t="shared" ca="1" si="2"/>
        <v>-0.37123623909768111</v>
      </c>
      <c r="G11" s="16" t="s">
        <v>30</v>
      </c>
    </row>
    <row r="12" spans="1:7" x14ac:dyDescent="0.25">
      <c r="A12" s="41" t="s">
        <v>5</v>
      </c>
      <c r="B12" s="41"/>
      <c r="E12">
        <f t="shared" si="1"/>
        <v>1.9999999999999998</v>
      </c>
      <c r="F12">
        <f t="shared" ca="1" si="2"/>
        <v>0.22237810727009166</v>
      </c>
      <c r="G12" s="16" t="s">
        <v>30</v>
      </c>
    </row>
    <row r="13" spans="1:7" x14ac:dyDescent="0.25">
      <c r="A13" s="10" t="s">
        <v>1</v>
      </c>
      <c r="B13" s="10" t="s">
        <v>2</v>
      </c>
      <c r="E13">
        <f t="shared" si="1"/>
        <v>2.1999999999999997</v>
      </c>
      <c r="F13">
        <f t="shared" ca="1" si="2"/>
        <v>-0.4083082242298266</v>
      </c>
      <c r="G13" s="16" t="s">
        <v>30</v>
      </c>
    </row>
    <row r="14" spans="1:7" x14ac:dyDescent="0.25">
      <c r="A14" s="11">
        <v>0</v>
      </c>
      <c r="B14" s="12">
        <f ca="1">+A14*$B$9+$B$10</f>
        <v>0.625</v>
      </c>
      <c r="E14">
        <f t="shared" si="1"/>
        <v>2.4</v>
      </c>
      <c r="F14">
        <f t="shared" ca="1" si="2"/>
        <v>-0.2351975273675897</v>
      </c>
      <c r="G14" s="16" t="s">
        <v>30</v>
      </c>
    </row>
    <row r="15" spans="1:7" x14ac:dyDescent="0.25">
      <c r="A15" s="12">
        <v>5</v>
      </c>
      <c r="B15" s="12">
        <f t="shared" ref="B15:B16" ca="1" si="3">+A15*$B$9+$B$10</f>
        <v>-3.125</v>
      </c>
      <c r="E15">
        <f t="shared" si="1"/>
        <v>2.6</v>
      </c>
      <c r="F15">
        <f t="shared" ca="1" si="2"/>
        <v>-1.1519536058645645</v>
      </c>
      <c r="G15" s="16" t="s">
        <v>30</v>
      </c>
    </row>
    <row r="16" spans="1:7" x14ac:dyDescent="0.25">
      <c r="A16" s="12">
        <v>2.5</v>
      </c>
      <c r="B16" s="12">
        <f t="shared" ca="1" si="3"/>
        <v>-1.25</v>
      </c>
      <c r="E16">
        <f t="shared" si="1"/>
        <v>2.8000000000000003</v>
      </c>
      <c r="F16">
        <f t="shared" ca="1" si="2"/>
        <v>-0.85366439338432287</v>
      </c>
      <c r="G16" s="16" t="s">
        <v>30</v>
      </c>
    </row>
    <row r="17" spans="5:7" x14ac:dyDescent="0.25">
      <c r="E17">
        <f t="shared" si="1"/>
        <v>3.0000000000000004</v>
      </c>
      <c r="F17">
        <f t="shared" ca="1" si="2"/>
        <v>-1.4333718675930176</v>
      </c>
      <c r="G17" s="16" t="s">
        <v>30</v>
      </c>
    </row>
    <row r="18" spans="5:7" x14ac:dyDescent="0.25">
      <c r="E18">
        <f t="shared" si="1"/>
        <v>3.2000000000000006</v>
      </c>
      <c r="F18">
        <f t="shared" ca="1" si="2"/>
        <v>-1.9384786562839373E-2</v>
      </c>
      <c r="G18" s="16" t="s">
        <v>30</v>
      </c>
    </row>
    <row r="19" spans="5:7" x14ac:dyDescent="0.25">
      <c r="E19">
        <f t="shared" si="1"/>
        <v>3.4000000000000008</v>
      </c>
      <c r="F19">
        <f t="shared" ca="1" si="2"/>
        <v>-1.2824051944204995</v>
      </c>
      <c r="G19" s="16" t="s">
        <v>30</v>
      </c>
    </row>
    <row r="20" spans="5:7" x14ac:dyDescent="0.25">
      <c r="E20">
        <f t="shared" si="1"/>
        <v>3.600000000000001</v>
      </c>
      <c r="F20">
        <f t="shared" ca="1" si="2"/>
        <v>-0.22029562870233543</v>
      </c>
      <c r="G20" s="16" t="s">
        <v>30</v>
      </c>
    </row>
    <row r="21" spans="5:7" x14ac:dyDescent="0.25">
      <c r="E21">
        <f t="shared" si="1"/>
        <v>3.8000000000000012</v>
      </c>
      <c r="F21">
        <f t="shared" ca="1" si="2"/>
        <v>-1.2817984800859732</v>
      </c>
      <c r="G21" s="16" t="s">
        <v>30</v>
      </c>
    </row>
    <row r="22" spans="5:7" x14ac:dyDescent="0.25">
      <c r="E22">
        <f t="shared" si="1"/>
        <v>4.0000000000000009</v>
      </c>
      <c r="F22">
        <f t="shared" ca="1" si="2"/>
        <v>-0.85634780232094276</v>
      </c>
      <c r="G22" s="16" t="s">
        <v>30</v>
      </c>
    </row>
    <row r="23" spans="5:7" x14ac:dyDescent="0.25">
      <c r="E23">
        <f t="shared" si="1"/>
        <v>4.2000000000000011</v>
      </c>
      <c r="F23">
        <f t="shared" ca="1" si="2"/>
        <v>-2.0230600084568922</v>
      </c>
      <c r="G23" s="16" t="s">
        <v>30</v>
      </c>
    </row>
    <row r="24" spans="5:7" x14ac:dyDescent="0.25">
      <c r="E24">
        <f t="shared" si="1"/>
        <v>4.4000000000000012</v>
      </c>
      <c r="F24">
        <f t="shared" ca="1" si="2"/>
        <v>-0.71139551065523987</v>
      </c>
      <c r="G24" s="16" t="s">
        <v>30</v>
      </c>
    </row>
    <row r="25" spans="5:7" x14ac:dyDescent="0.25">
      <c r="E25">
        <f t="shared" si="1"/>
        <v>4.6000000000000014</v>
      </c>
      <c r="F25">
        <f t="shared" ca="1" si="2"/>
        <v>-0.95913200731626347</v>
      </c>
      <c r="G25" s="16" t="s">
        <v>30</v>
      </c>
    </row>
    <row r="26" spans="5:7" x14ac:dyDescent="0.25">
      <c r="E26">
        <f t="shared" si="1"/>
        <v>4.8000000000000016</v>
      </c>
      <c r="F26">
        <f t="shared" ca="1" si="2"/>
        <v>-2.4249007967927954</v>
      </c>
      <c r="G26" s="16" t="s">
        <v>30</v>
      </c>
    </row>
    <row r="27" spans="5:7" x14ac:dyDescent="0.25">
      <c r="E27">
        <f t="shared" si="1"/>
        <v>5.0000000000000018</v>
      </c>
      <c r="F27">
        <f t="shared" ca="1" si="2"/>
        <v>-2.8819357070501637</v>
      </c>
      <c r="G27" s="16" t="s">
        <v>30</v>
      </c>
    </row>
    <row r="28" spans="5:7" x14ac:dyDescent="0.25">
      <c r="E28">
        <v>0</v>
      </c>
      <c r="F28">
        <f ca="1">-($A$2/$B$2)*E28-($C$2/$B$2) - RAND()*$B$7</f>
        <v>0.53096115550395262</v>
      </c>
      <c r="G28" s="15" t="s">
        <v>31</v>
      </c>
    </row>
    <row r="29" spans="5:7" x14ac:dyDescent="0.25">
      <c r="E29">
        <f t="shared" si="1"/>
        <v>0.2</v>
      </c>
      <c r="F29">
        <f t="shared" ref="F29:F53" ca="1" si="4">-($A$2/$B$2)*E29-($C$2/$B$2) - RAND()*$B$7</f>
        <v>-0.63521498421723621</v>
      </c>
      <c r="G29" s="15" t="s">
        <v>31</v>
      </c>
    </row>
    <row r="30" spans="5:7" x14ac:dyDescent="0.25">
      <c r="E30">
        <f t="shared" si="1"/>
        <v>0.4</v>
      </c>
      <c r="F30">
        <f t="shared" ca="1" si="4"/>
        <v>-2.5685496863202975</v>
      </c>
      <c r="G30" s="15" t="s">
        <v>31</v>
      </c>
    </row>
    <row r="31" spans="5:7" x14ac:dyDescent="0.25">
      <c r="E31">
        <f t="shared" si="1"/>
        <v>0.60000000000000009</v>
      </c>
      <c r="F31">
        <f t="shared" ca="1" si="4"/>
        <v>-1.2408728953193333</v>
      </c>
      <c r="G31" s="15" t="s">
        <v>31</v>
      </c>
    </row>
    <row r="32" spans="5:7" x14ac:dyDescent="0.25">
      <c r="E32">
        <f t="shared" si="1"/>
        <v>0.8</v>
      </c>
      <c r="F32">
        <f t="shared" ca="1" si="4"/>
        <v>-0.94855611354922598</v>
      </c>
      <c r="G32" s="15" t="s">
        <v>31</v>
      </c>
    </row>
    <row r="33" spans="5:7" x14ac:dyDescent="0.25">
      <c r="E33">
        <f t="shared" si="1"/>
        <v>1</v>
      </c>
      <c r="F33">
        <f t="shared" ca="1" si="4"/>
        <v>-0.83596522902812154</v>
      </c>
      <c r="G33" s="15" t="s">
        <v>31</v>
      </c>
    </row>
    <row r="34" spans="5:7" x14ac:dyDescent="0.25">
      <c r="E34">
        <f t="shared" si="1"/>
        <v>1.2</v>
      </c>
      <c r="F34">
        <f t="shared" ca="1" si="4"/>
        <v>-1.0658797913497744</v>
      </c>
      <c r="G34" s="15" t="s">
        <v>31</v>
      </c>
    </row>
    <row r="35" spans="5:7" x14ac:dyDescent="0.25">
      <c r="E35">
        <f t="shared" si="1"/>
        <v>1.4</v>
      </c>
      <c r="F35">
        <f t="shared" ca="1" si="4"/>
        <v>-1.0496198182026473</v>
      </c>
      <c r="G35" s="15" t="s">
        <v>31</v>
      </c>
    </row>
    <row r="36" spans="5:7" x14ac:dyDescent="0.25">
      <c r="E36">
        <f t="shared" si="1"/>
        <v>1.5999999999999999</v>
      </c>
      <c r="F36">
        <f t="shared" ca="1" si="4"/>
        <v>-1.8560489716352691</v>
      </c>
      <c r="G36" s="15" t="s">
        <v>31</v>
      </c>
    </row>
    <row r="37" spans="5:7" x14ac:dyDescent="0.25">
      <c r="E37">
        <f t="shared" si="1"/>
        <v>1.7999999999999998</v>
      </c>
      <c r="F37">
        <f t="shared" ca="1" si="4"/>
        <v>-1.927984696974236</v>
      </c>
      <c r="G37" s="15" t="s">
        <v>31</v>
      </c>
    </row>
    <row r="38" spans="5:7" x14ac:dyDescent="0.25">
      <c r="E38">
        <f t="shared" si="1"/>
        <v>1.9999999999999998</v>
      </c>
      <c r="F38">
        <f t="shared" ca="1" si="4"/>
        <v>-2.6755760555172143</v>
      </c>
      <c r="G38" s="15" t="s">
        <v>31</v>
      </c>
    </row>
    <row r="39" spans="5:7" x14ac:dyDescent="0.25">
      <c r="E39">
        <f t="shared" si="1"/>
        <v>2.1999999999999997</v>
      </c>
      <c r="F39">
        <f t="shared" ca="1" si="4"/>
        <v>-1.3384175629275936</v>
      </c>
      <c r="G39" s="15" t="s">
        <v>31</v>
      </c>
    </row>
    <row r="40" spans="5:7" x14ac:dyDescent="0.25">
      <c r="E40">
        <f t="shared" si="1"/>
        <v>2.4</v>
      </c>
      <c r="F40">
        <f t="shared" ca="1" si="4"/>
        <v>-1.8929809674031572</v>
      </c>
      <c r="G40" s="15" t="s">
        <v>31</v>
      </c>
    </row>
    <row r="41" spans="5:7" x14ac:dyDescent="0.25">
      <c r="E41">
        <f t="shared" si="1"/>
        <v>2.6</v>
      </c>
      <c r="F41">
        <f t="shared" ca="1" si="4"/>
        <v>-4.2662713093392099</v>
      </c>
      <c r="G41" s="15" t="s">
        <v>31</v>
      </c>
    </row>
    <row r="42" spans="5:7" x14ac:dyDescent="0.25">
      <c r="E42">
        <f t="shared" si="1"/>
        <v>2.8000000000000003</v>
      </c>
      <c r="F42">
        <f t="shared" ca="1" si="4"/>
        <v>-4.351173742197382</v>
      </c>
      <c r="G42" s="15" t="s">
        <v>31</v>
      </c>
    </row>
    <row r="43" spans="5:7" x14ac:dyDescent="0.25">
      <c r="E43">
        <f t="shared" si="1"/>
        <v>3.0000000000000004</v>
      </c>
      <c r="F43">
        <f t="shared" ca="1" si="4"/>
        <v>-2.0746531530824961</v>
      </c>
      <c r="G43" s="15" t="s">
        <v>31</v>
      </c>
    </row>
    <row r="44" spans="5:7" x14ac:dyDescent="0.25">
      <c r="E44">
        <f t="shared" si="1"/>
        <v>3.2000000000000006</v>
      </c>
      <c r="F44">
        <f t="shared" ca="1" si="4"/>
        <v>-2.1972174560682602</v>
      </c>
      <c r="G44" s="15" t="s">
        <v>31</v>
      </c>
    </row>
    <row r="45" spans="5:7" x14ac:dyDescent="0.25">
      <c r="E45">
        <f t="shared" si="1"/>
        <v>3.4000000000000008</v>
      </c>
      <c r="F45">
        <f t="shared" ca="1" si="4"/>
        <v>-2.7251332979777025</v>
      </c>
      <c r="G45" s="15" t="s">
        <v>31</v>
      </c>
    </row>
    <row r="46" spans="5:7" x14ac:dyDescent="0.25">
      <c r="E46">
        <f t="shared" si="1"/>
        <v>3.600000000000001</v>
      </c>
      <c r="F46">
        <f t="shared" ca="1" si="4"/>
        <v>-3.6188661740473842</v>
      </c>
      <c r="G46" s="15" t="s">
        <v>31</v>
      </c>
    </row>
    <row r="47" spans="5:7" x14ac:dyDescent="0.25">
      <c r="E47">
        <f t="shared" si="1"/>
        <v>3.8000000000000012</v>
      </c>
      <c r="F47">
        <f t="shared" ca="1" si="4"/>
        <v>-3.7878643586519116</v>
      </c>
      <c r="G47" s="15" t="s">
        <v>31</v>
      </c>
    </row>
    <row r="48" spans="5:7" x14ac:dyDescent="0.25">
      <c r="E48">
        <f t="shared" si="1"/>
        <v>4.0000000000000009</v>
      </c>
      <c r="F48">
        <f t="shared" ca="1" si="4"/>
        <v>-3.5179072274348053</v>
      </c>
      <c r="G48" s="15" t="s">
        <v>31</v>
      </c>
    </row>
    <row r="49" spans="5:7" x14ac:dyDescent="0.25">
      <c r="E49">
        <f t="shared" si="1"/>
        <v>4.2000000000000011</v>
      </c>
      <c r="F49">
        <f t="shared" ca="1" si="4"/>
        <v>-4.0732515777770111</v>
      </c>
      <c r="G49" s="15" t="s">
        <v>31</v>
      </c>
    </row>
    <row r="50" spans="5:7" x14ac:dyDescent="0.25">
      <c r="E50">
        <f t="shared" si="1"/>
        <v>4.4000000000000012</v>
      </c>
      <c r="F50">
        <f t="shared" ca="1" si="4"/>
        <v>-5.3582925265794756</v>
      </c>
      <c r="G50" s="15" t="s">
        <v>31</v>
      </c>
    </row>
    <row r="51" spans="5:7" x14ac:dyDescent="0.25">
      <c r="E51">
        <f t="shared" si="1"/>
        <v>4.6000000000000014</v>
      </c>
      <c r="F51">
        <f t="shared" ca="1" si="4"/>
        <v>-5.044001703931742</v>
      </c>
      <c r="G51" s="15" t="s">
        <v>31</v>
      </c>
    </row>
    <row r="52" spans="5:7" x14ac:dyDescent="0.25">
      <c r="E52">
        <f t="shared" si="1"/>
        <v>4.8000000000000016</v>
      </c>
      <c r="F52">
        <f t="shared" ca="1" si="4"/>
        <v>-3.878117373335928</v>
      </c>
      <c r="G52" s="15" t="s">
        <v>31</v>
      </c>
    </row>
    <row r="53" spans="5:7" x14ac:dyDescent="0.25">
      <c r="E53">
        <f t="shared" si="1"/>
        <v>5.0000000000000018</v>
      </c>
      <c r="F53">
        <f t="shared" ca="1" si="4"/>
        <v>-5.7050347041819736</v>
      </c>
      <c r="G53" s="15" t="s">
        <v>31</v>
      </c>
    </row>
  </sheetData>
  <mergeCells count="1">
    <mergeCell ref="A12:B12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tabColor theme="7"/>
  </sheetPr>
  <dimension ref="A1:I53"/>
  <sheetViews>
    <sheetView workbookViewId="0">
      <selection activeCell="F2" sqref="F2"/>
    </sheetView>
  </sheetViews>
  <sheetFormatPr baseColWidth="10" defaultRowHeight="15" x14ac:dyDescent="0.25"/>
  <cols>
    <col min="1" max="1" width="7.42578125" customWidth="1"/>
    <col min="2" max="3" width="6.140625" customWidth="1"/>
    <col min="4" max="4" width="3.7109375" customWidth="1"/>
  </cols>
  <sheetData>
    <row r="1" spans="1:9" x14ac:dyDescent="0.25">
      <c r="A1" s="7" t="s">
        <v>13</v>
      </c>
      <c r="B1" s="9">
        <v>-1.2379403213629312</v>
      </c>
      <c r="C1" s="6"/>
      <c r="E1" s="1" t="s">
        <v>15</v>
      </c>
      <c r="F1" s="1" t="s">
        <v>16</v>
      </c>
      <c r="G1" s="1" t="s">
        <v>12</v>
      </c>
      <c r="H1" s="13" t="s">
        <v>17</v>
      </c>
      <c r="I1" s="13" t="s">
        <v>2</v>
      </c>
    </row>
    <row r="2" spans="1:9" x14ac:dyDescent="0.25">
      <c r="A2" s="7" t="s">
        <v>14</v>
      </c>
      <c r="B2" s="9">
        <v>2.2315930716900789</v>
      </c>
      <c r="C2" s="5"/>
      <c r="E2">
        <v>0</v>
      </c>
      <c r="F2">
        <v>2.193509549860043</v>
      </c>
      <c r="G2" s="14">
        <v>1</v>
      </c>
      <c r="H2">
        <f>$B$1*E2+$B$2*F2</f>
        <v>4.8950207141536959</v>
      </c>
      <c r="I2">
        <f>1/(1+EXP(-H2))</f>
        <v>0.99257183634828827</v>
      </c>
    </row>
    <row r="3" spans="1:9" x14ac:dyDescent="0.25">
      <c r="C3" s="5"/>
      <c r="E3">
        <v>0.2</v>
      </c>
      <c r="F3">
        <v>0.79433892692272401</v>
      </c>
      <c r="G3" s="14">
        <v>1</v>
      </c>
      <c r="H3">
        <f t="shared" ref="H3:H53" si="0">$B$1*E3+$B$2*F3</f>
        <v>1.5250531816218966</v>
      </c>
      <c r="I3">
        <f t="shared" ref="I3:I53" si="1">1/(1+EXP(-H3))</f>
        <v>0.821281382381159</v>
      </c>
    </row>
    <row r="4" spans="1:9" x14ac:dyDescent="0.25">
      <c r="A4" s="4" t="s">
        <v>10</v>
      </c>
      <c r="B4" s="8">
        <v>0.01</v>
      </c>
      <c r="E4">
        <v>0.4</v>
      </c>
      <c r="F4">
        <v>1.1558570919505471</v>
      </c>
      <c r="G4" s="14">
        <v>1</v>
      </c>
      <c r="H4">
        <f t="shared" si="0"/>
        <v>2.084226549715511</v>
      </c>
      <c r="I4">
        <f t="shared" si="1"/>
        <v>0.88936060359116931</v>
      </c>
    </row>
    <row r="5" spans="1:9" x14ac:dyDescent="0.25">
      <c r="A5" s="5"/>
      <c r="B5" s="5"/>
      <c r="E5">
        <v>0.60000000000000009</v>
      </c>
      <c r="F5">
        <v>1.0498437334080704</v>
      </c>
      <c r="G5" s="14">
        <v>1</v>
      </c>
      <c r="H5">
        <f t="shared" si="0"/>
        <v>1.600059809012937</v>
      </c>
      <c r="I5">
        <f t="shared" si="1"/>
        <v>0.83202674410237198</v>
      </c>
    </row>
    <row r="6" spans="1:9" x14ac:dyDescent="0.25">
      <c r="A6" s="4" t="s">
        <v>11</v>
      </c>
      <c r="B6" s="8">
        <v>170</v>
      </c>
      <c r="E6">
        <v>0.8</v>
      </c>
      <c r="F6">
        <v>1.764481263632713</v>
      </c>
      <c r="G6" s="14">
        <v>1</v>
      </c>
      <c r="H6">
        <f t="shared" si="0"/>
        <v>2.9472519059593729</v>
      </c>
      <c r="I6">
        <f t="shared" si="1"/>
        <v>0.95013344501769381</v>
      </c>
    </row>
    <row r="7" spans="1:9" x14ac:dyDescent="0.25">
      <c r="E7">
        <v>1</v>
      </c>
      <c r="F7">
        <v>1.5439694944109537</v>
      </c>
      <c r="G7" s="14">
        <v>1</v>
      </c>
      <c r="H7">
        <f t="shared" si="0"/>
        <v>2.2075713052653869</v>
      </c>
      <c r="I7">
        <f t="shared" si="1"/>
        <v>0.90092735918717293</v>
      </c>
    </row>
    <row r="8" spans="1:9" x14ac:dyDescent="0.25">
      <c r="E8">
        <v>1.2</v>
      </c>
      <c r="F8">
        <v>1.0523987170617417</v>
      </c>
      <c r="G8" s="14">
        <v>1</v>
      </c>
      <c r="H8">
        <f t="shared" si="0"/>
        <v>0.86299730001499309</v>
      </c>
      <c r="I8">
        <f t="shared" si="1"/>
        <v>0.70328649559174794</v>
      </c>
    </row>
    <row r="9" spans="1:9" x14ac:dyDescent="0.25">
      <c r="E9">
        <v>1.4</v>
      </c>
      <c r="F9">
        <v>2.9817264272169526</v>
      </c>
      <c r="G9" s="14">
        <v>1</v>
      </c>
      <c r="H9">
        <f t="shared" si="0"/>
        <v>4.92088358674446</v>
      </c>
      <c r="I9">
        <f t="shared" si="1"/>
        <v>0.99276011392338381</v>
      </c>
    </row>
    <row r="10" spans="1:9" x14ac:dyDescent="0.25">
      <c r="E10">
        <v>1.5999999999999999</v>
      </c>
      <c r="F10">
        <v>1.897673375184207</v>
      </c>
      <c r="G10" s="14">
        <v>1</v>
      </c>
      <c r="H10">
        <f t="shared" si="0"/>
        <v>2.2541302422111138</v>
      </c>
      <c r="I10">
        <f t="shared" si="1"/>
        <v>0.90500620636339768</v>
      </c>
    </row>
    <row r="11" spans="1:9" x14ac:dyDescent="0.25">
      <c r="E11">
        <v>1.7999999999999998</v>
      </c>
      <c r="F11">
        <v>2.0053857420718364</v>
      </c>
      <c r="G11" s="14">
        <v>1</v>
      </c>
      <c r="H11">
        <f t="shared" si="0"/>
        <v>2.2469123496203016</v>
      </c>
      <c r="I11">
        <f t="shared" si="1"/>
        <v>0.90438386775849322</v>
      </c>
    </row>
    <row r="12" spans="1:9" x14ac:dyDescent="0.25">
      <c r="E12">
        <v>1.9999999999999998</v>
      </c>
      <c r="F12">
        <v>2.4057302969404173</v>
      </c>
      <c r="G12" s="14">
        <v>1</v>
      </c>
      <c r="H12">
        <f t="shared" si="0"/>
        <v>2.8927304202812891</v>
      </c>
      <c r="I12">
        <f t="shared" si="1"/>
        <v>0.94748590346648753</v>
      </c>
    </row>
    <row r="13" spans="1:9" x14ac:dyDescent="0.25">
      <c r="E13">
        <v>2.1999999999999997</v>
      </c>
      <c r="F13">
        <v>2.5129079990284531</v>
      </c>
      <c r="G13" s="14">
        <v>1</v>
      </c>
      <c r="H13">
        <f t="shared" si="0"/>
        <v>2.8843193734280272</v>
      </c>
      <c r="I13">
        <f t="shared" si="1"/>
        <v>0.94706582170151343</v>
      </c>
    </row>
    <row r="14" spans="1:9" x14ac:dyDescent="0.25">
      <c r="E14">
        <v>2.4</v>
      </c>
      <c r="F14">
        <v>2.7268113924682464</v>
      </c>
      <c r="G14" s="14">
        <v>1</v>
      </c>
      <c r="H14">
        <f t="shared" si="0"/>
        <v>3.1140766399666808</v>
      </c>
      <c r="I14">
        <f t="shared" si="1"/>
        <v>0.95746967261098148</v>
      </c>
    </row>
    <row r="15" spans="1:9" x14ac:dyDescent="0.25">
      <c r="E15">
        <v>2.6</v>
      </c>
      <c r="F15">
        <v>3.3433250377852488</v>
      </c>
      <c r="G15" s="14">
        <v>1</v>
      </c>
      <c r="H15">
        <f t="shared" si="0"/>
        <v>4.2422961551859117</v>
      </c>
      <c r="I15">
        <f t="shared" si="1"/>
        <v>0.98582915180560649</v>
      </c>
    </row>
    <row r="16" spans="1:9" x14ac:dyDescent="0.25">
      <c r="E16">
        <v>2.8000000000000003</v>
      </c>
      <c r="F16">
        <v>3.1948328439663651</v>
      </c>
      <c r="G16" s="14">
        <v>1</v>
      </c>
      <c r="H16">
        <f t="shared" si="0"/>
        <v>3.6633339399870439</v>
      </c>
      <c r="I16">
        <f t="shared" si="1"/>
        <v>0.97499444906240618</v>
      </c>
    </row>
    <row r="17" spans="5:9" x14ac:dyDescent="0.25">
      <c r="E17">
        <v>3.0000000000000004</v>
      </c>
      <c r="F17">
        <v>1.9418867367665869</v>
      </c>
      <c r="G17" s="14">
        <v>1</v>
      </c>
      <c r="H17">
        <f t="shared" si="0"/>
        <v>0.61968002368637665</v>
      </c>
      <c r="I17">
        <f t="shared" si="1"/>
        <v>0.6501457714593597</v>
      </c>
    </row>
    <row r="18" spans="5:9" x14ac:dyDescent="0.25">
      <c r="E18">
        <v>3.2000000000000006</v>
      </c>
      <c r="F18">
        <v>2.5161749229655328</v>
      </c>
      <c r="G18" s="14">
        <v>1</v>
      </c>
      <c r="H18">
        <f t="shared" si="0"/>
        <v>1.6536694968888206</v>
      </c>
      <c r="I18">
        <f t="shared" si="1"/>
        <v>0.83938637688400397</v>
      </c>
    </row>
    <row r="19" spans="5:9" x14ac:dyDescent="0.25">
      <c r="E19">
        <v>3.4000000000000008</v>
      </c>
      <c r="F19">
        <v>3.3327454673152563</v>
      </c>
      <c r="G19" s="14">
        <v>1</v>
      </c>
      <c r="H19">
        <f t="shared" si="0"/>
        <v>3.2283346019332733</v>
      </c>
      <c r="I19">
        <f t="shared" si="1"/>
        <v>0.96188674532188845</v>
      </c>
    </row>
    <row r="20" spans="5:9" x14ac:dyDescent="0.25">
      <c r="E20">
        <v>3.600000000000001</v>
      </c>
      <c r="F20">
        <v>3.988751410447545</v>
      </c>
      <c r="G20" s="14">
        <v>1</v>
      </c>
      <c r="H20">
        <f t="shared" si="0"/>
        <v>4.444684855342218</v>
      </c>
      <c r="I20">
        <f t="shared" si="1"/>
        <v>0.98839544136573021</v>
      </c>
    </row>
    <row r="21" spans="5:9" x14ac:dyDescent="0.25">
      <c r="E21">
        <v>3.8000000000000012</v>
      </c>
      <c r="F21">
        <v>2.7777877166505673</v>
      </c>
      <c r="G21" s="14">
        <v>1</v>
      </c>
      <c r="H21">
        <f t="shared" si="0"/>
        <v>1.4947186019240704</v>
      </c>
      <c r="I21">
        <f t="shared" si="1"/>
        <v>0.81678545286337378</v>
      </c>
    </row>
    <row r="22" spans="5:9" x14ac:dyDescent="0.25">
      <c r="E22">
        <v>4.0000000000000009</v>
      </c>
      <c r="F22">
        <v>4.0121738217860479</v>
      </c>
      <c r="G22" s="14">
        <v>1</v>
      </c>
      <c r="H22">
        <f t="shared" si="0"/>
        <v>4.0017780176623248</v>
      </c>
      <c r="I22">
        <f t="shared" si="1"/>
        <v>0.98204516774165063</v>
      </c>
    </row>
    <row r="23" spans="5:9" x14ac:dyDescent="0.25">
      <c r="E23">
        <v>4.2000000000000011</v>
      </c>
      <c r="F23">
        <v>2.4326537789907556</v>
      </c>
      <c r="G23" s="14">
        <v>1</v>
      </c>
      <c r="H23">
        <f t="shared" si="0"/>
        <v>0.22934396929214618</v>
      </c>
      <c r="I23">
        <f t="shared" si="1"/>
        <v>0.55708599086888333</v>
      </c>
    </row>
    <row r="24" spans="5:9" x14ac:dyDescent="0.25">
      <c r="E24">
        <v>4.4000000000000012</v>
      </c>
      <c r="F24">
        <v>2.457375579966401</v>
      </c>
      <c r="G24" s="14">
        <v>1</v>
      </c>
      <c r="H24">
        <f t="shared" si="0"/>
        <v>3.692490479651056E-2</v>
      </c>
      <c r="I24">
        <f t="shared" si="1"/>
        <v>0.50923017748358235</v>
      </c>
    </row>
    <row r="25" spans="5:9" x14ac:dyDescent="0.25">
      <c r="E25">
        <v>4.6000000000000014</v>
      </c>
      <c r="F25">
        <v>3.6327612359394039</v>
      </c>
      <c r="G25" s="14">
        <v>1</v>
      </c>
      <c r="H25">
        <f t="shared" si="0"/>
        <v>2.4123193269571761</v>
      </c>
      <c r="I25">
        <f t="shared" si="1"/>
        <v>0.91776190275463254</v>
      </c>
    </row>
    <row r="26" spans="5:9" x14ac:dyDescent="0.25">
      <c r="E26">
        <v>4.8000000000000016</v>
      </c>
      <c r="F26">
        <v>3.4053150791384752</v>
      </c>
      <c r="G26" s="14">
        <v>1</v>
      </c>
      <c r="H26">
        <f t="shared" si="0"/>
        <v>1.657163994985102</v>
      </c>
      <c r="I26">
        <f t="shared" si="1"/>
        <v>0.83985693568506536</v>
      </c>
    </row>
    <row r="27" spans="5:9" x14ac:dyDescent="0.25">
      <c r="E27">
        <v>5.0000000000000018</v>
      </c>
      <c r="F27">
        <v>3.9623145011838612</v>
      </c>
      <c r="G27" s="14">
        <v>1</v>
      </c>
      <c r="H27">
        <f t="shared" si="0"/>
        <v>2.6525719818843765</v>
      </c>
      <c r="I27">
        <f t="shared" si="1"/>
        <v>0.93416933637987465</v>
      </c>
    </row>
    <row r="28" spans="5:9" x14ac:dyDescent="0.25">
      <c r="E28">
        <v>0</v>
      </c>
      <c r="F28">
        <v>-0.64915004767012552</v>
      </c>
      <c r="G28" s="15">
        <v>0</v>
      </c>
      <c r="H28">
        <f t="shared" si="0"/>
        <v>-1.4486387488679366</v>
      </c>
      <c r="I28">
        <f t="shared" si="1"/>
        <v>0.19021115229626687</v>
      </c>
    </row>
    <row r="29" spans="5:9" x14ac:dyDescent="0.25">
      <c r="E29">
        <v>0.2</v>
      </c>
      <c r="F29">
        <v>-9.3069111872662313E-3</v>
      </c>
      <c r="G29" s="15">
        <v>0</v>
      </c>
      <c r="H29">
        <f t="shared" si="0"/>
        <v>-0.26835730279692449</v>
      </c>
      <c r="I29">
        <f t="shared" si="1"/>
        <v>0.43331041916401619</v>
      </c>
    </row>
    <row r="30" spans="5:9" x14ac:dyDescent="0.25">
      <c r="E30">
        <v>0.4</v>
      </c>
      <c r="F30">
        <v>-1.2450214514872244</v>
      </c>
      <c r="G30" s="15">
        <v>0</v>
      </c>
      <c r="H30">
        <f t="shared" si="0"/>
        <v>-3.2735573737895884</v>
      </c>
      <c r="I30">
        <f t="shared" si="1"/>
        <v>3.648955146447086E-2</v>
      </c>
    </row>
    <row r="31" spans="5:9" x14ac:dyDescent="0.25">
      <c r="E31">
        <v>0.60000000000000009</v>
      </c>
      <c r="F31">
        <v>-1.2067626610555706</v>
      </c>
      <c r="G31" s="15">
        <v>0</v>
      </c>
      <c r="H31">
        <f t="shared" si="0"/>
        <v>-3.4357673864036533</v>
      </c>
      <c r="I31">
        <f t="shared" si="1"/>
        <v>3.1196152721586545E-2</v>
      </c>
    </row>
    <row r="32" spans="5:9" x14ac:dyDescent="0.25">
      <c r="E32">
        <v>0.8</v>
      </c>
      <c r="F32">
        <v>2.0841617303981153E-2</v>
      </c>
      <c r="G32" s="15">
        <v>0</v>
      </c>
      <c r="H32">
        <f t="shared" si="0"/>
        <v>-0.94384224831196462</v>
      </c>
      <c r="I32">
        <f t="shared" si="1"/>
        <v>0.28012488009470782</v>
      </c>
    </row>
    <row r="33" spans="5:9" x14ac:dyDescent="0.25">
      <c r="E33">
        <v>1</v>
      </c>
      <c r="F33">
        <v>0.75586362460028456</v>
      </c>
      <c r="G33" s="15">
        <v>0</v>
      </c>
      <c r="H33">
        <f t="shared" si="0"/>
        <v>0.44883970643761462</v>
      </c>
      <c r="I33">
        <f t="shared" si="1"/>
        <v>0.61036332837049123</v>
      </c>
    </row>
    <row r="34" spans="5:9" x14ac:dyDescent="0.25">
      <c r="E34">
        <v>1.2</v>
      </c>
      <c r="F34">
        <v>0.59232956850098328</v>
      </c>
      <c r="G34" s="15">
        <v>0</v>
      </c>
      <c r="H34">
        <f t="shared" si="0"/>
        <v>-0.16368982441154922</v>
      </c>
      <c r="I34">
        <f t="shared" si="1"/>
        <v>0.45916867397472311</v>
      </c>
    </row>
    <row r="35" spans="5:9" x14ac:dyDescent="0.25">
      <c r="E35">
        <v>1.4</v>
      </c>
      <c r="F35">
        <v>-1.1524847118760964</v>
      </c>
      <c r="G35" s="15">
        <v>0</v>
      </c>
      <c r="H35">
        <f t="shared" si="0"/>
        <v>-4.3049933481595364</v>
      </c>
      <c r="I35">
        <f t="shared" si="1"/>
        <v>1.3321127138732255E-2</v>
      </c>
    </row>
    <row r="36" spans="5:9" x14ac:dyDescent="0.25">
      <c r="E36">
        <v>1.5999999999999999</v>
      </c>
      <c r="F36">
        <v>-1.6583720531660251</v>
      </c>
      <c r="G36" s="15">
        <v>0</v>
      </c>
      <c r="H36">
        <f t="shared" si="0"/>
        <v>-5.6815160983104427</v>
      </c>
      <c r="I36">
        <f t="shared" si="1"/>
        <v>3.3968094329838829E-3</v>
      </c>
    </row>
    <row r="37" spans="5:9" x14ac:dyDescent="0.25">
      <c r="E37">
        <v>1.7999999999999998</v>
      </c>
      <c r="F37">
        <v>-0.52142819294519582</v>
      </c>
      <c r="G37" s="15">
        <v>0</v>
      </c>
      <c r="H37">
        <f t="shared" si="0"/>
        <v>-3.3919081212136528</v>
      </c>
      <c r="I37">
        <f t="shared" si="1"/>
        <v>3.2549315218182953E-2</v>
      </c>
    </row>
    <row r="38" spans="5:9" x14ac:dyDescent="0.25">
      <c r="E38">
        <v>1.9999999999999998</v>
      </c>
      <c r="F38">
        <v>-0.88312997511195324</v>
      </c>
      <c r="G38" s="15">
        <v>0</v>
      </c>
      <c r="H38">
        <f t="shared" si="0"/>
        <v>-4.4466673765875289</v>
      </c>
      <c r="I38">
        <f t="shared" si="1"/>
        <v>1.1581841331574413E-2</v>
      </c>
    </row>
    <row r="39" spans="5:9" x14ac:dyDescent="0.25">
      <c r="E39">
        <v>2.2000000000000002</v>
      </c>
      <c r="F39">
        <v>-0.78635077410943</v>
      </c>
      <c r="G39" s="15">
        <v>0</v>
      </c>
      <c r="H39">
        <f t="shared" si="0"/>
        <v>-4.4782836464191824</v>
      </c>
      <c r="I39">
        <f t="shared" si="1"/>
        <v>1.1225440895941307E-2</v>
      </c>
    </row>
    <row r="40" spans="5:9" x14ac:dyDescent="0.25">
      <c r="E40">
        <v>2.4</v>
      </c>
      <c r="F40">
        <v>-0.72140235054511903</v>
      </c>
      <c r="G40" s="15">
        <v>0</v>
      </c>
      <c r="H40">
        <f t="shared" si="0"/>
        <v>-4.5809332586484599</v>
      </c>
      <c r="I40">
        <f t="shared" si="1"/>
        <v>1.0141428010636203E-2</v>
      </c>
    </row>
    <row r="41" spans="5:9" x14ac:dyDescent="0.25">
      <c r="E41">
        <v>2.6</v>
      </c>
      <c r="F41">
        <v>1.3717819900296355</v>
      </c>
      <c r="G41" s="15">
        <v>0</v>
      </c>
      <c r="H41">
        <f t="shared" si="0"/>
        <v>-0.1573856507242577</v>
      </c>
      <c r="I41">
        <f t="shared" si="1"/>
        <v>0.46073460499255581</v>
      </c>
    </row>
    <row r="42" spans="5:9" x14ac:dyDescent="0.25">
      <c r="E42">
        <v>2.8000000000000003</v>
      </c>
      <c r="F42">
        <v>-0.34585922956716475</v>
      </c>
      <c r="G42" s="15">
        <v>0</v>
      </c>
      <c r="H42">
        <f t="shared" si="0"/>
        <v>-4.238049960298361</v>
      </c>
      <c r="I42">
        <f t="shared" si="1"/>
        <v>1.4230290221823188E-2</v>
      </c>
    </row>
    <row r="43" spans="5:9" x14ac:dyDescent="0.25">
      <c r="E43">
        <v>3.0000000000000004</v>
      </c>
      <c r="F43">
        <v>-0.22072088088725939</v>
      </c>
      <c r="G43" s="15">
        <v>0</v>
      </c>
      <c r="H43">
        <f t="shared" si="0"/>
        <v>-4.2063801526541331</v>
      </c>
      <c r="I43">
        <f t="shared" si="1"/>
        <v>1.4681450652409889E-2</v>
      </c>
    </row>
    <row r="44" spans="5:9" x14ac:dyDescent="0.25">
      <c r="E44">
        <v>3.2000000000000006</v>
      </c>
      <c r="F44">
        <v>-9.1269232738395711E-3</v>
      </c>
      <c r="G44" s="15">
        <v>0</v>
      </c>
      <c r="H44">
        <f t="shared" si="0"/>
        <v>-3.9817766071051279</v>
      </c>
      <c r="I44">
        <f t="shared" si="1"/>
        <v>1.8310927707571242E-2</v>
      </c>
    </row>
    <row r="45" spans="5:9" x14ac:dyDescent="0.25">
      <c r="E45">
        <v>3.4000000000000008</v>
      </c>
      <c r="F45">
        <v>-0.59211875326604124</v>
      </c>
      <c r="G45" s="15">
        <v>0</v>
      </c>
      <c r="H45">
        <f t="shared" si="0"/>
        <v>-5.5303652000402321</v>
      </c>
      <c r="I45">
        <f t="shared" si="1"/>
        <v>3.9488854559656473E-3</v>
      </c>
    </row>
    <row r="46" spans="5:9" x14ac:dyDescent="0.25">
      <c r="E46">
        <v>3.600000000000001</v>
      </c>
      <c r="F46">
        <v>-0.8912099266307747</v>
      </c>
      <c r="G46" s="15">
        <v>0</v>
      </c>
      <c r="H46">
        <f t="shared" si="0"/>
        <v>-6.4454030545972136</v>
      </c>
      <c r="I46">
        <f t="shared" si="1"/>
        <v>1.5852873418714364E-3</v>
      </c>
    </row>
    <row r="47" spans="5:9" x14ac:dyDescent="0.25">
      <c r="E47">
        <v>3.8000000000000012</v>
      </c>
      <c r="F47">
        <v>0.27751195855514799</v>
      </c>
      <c r="G47" s="15">
        <v>0</v>
      </c>
      <c r="H47">
        <f t="shared" si="0"/>
        <v>-4.0848794571563269</v>
      </c>
      <c r="I47">
        <f t="shared" si="1"/>
        <v>1.6546765252811776E-2</v>
      </c>
    </row>
    <row r="48" spans="5:9" x14ac:dyDescent="0.25">
      <c r="E48">
        <v>4.0000000000000009</v>
      </c>
      <c r="F48">
        <v>-0.11524558705164223</v>
      </c>
      <c r="G48" s="15">
        <v>0</v>
      </c>
      <c r="H48">
        <f t="shared" si="0"/>
        <v>-5.2089425390590263</v>
      </c>
      <c r="I48">
        <f t="shared" si="1"/>
        <v>5.4377217649078059E-3</v>
      </c>
    </row>
    <row r="49" spans="5:9" x14ac:dyDescent="0.25">
      <c r="E49">
        <v>4.2000000000000011</v>
      </c>
      <c r="F49">
        <v>0.27900382678096847</v>
      </c>
      <c r="G49" s="15">
        <v>0</v>
      </c>
      <c r="H49">
        <f t="shared" si="0"/>
        <v>-4.5767263429048839</v>
      </c>
      <c r="I49">
        <f t="shared" si="1"/>
        <v>1.0183746616065139E-2</v>
      </c>
    </row>
    <row r="50" spans="5:9" x14ac:dyDescent="0.25">
      <c r="E50">
        <v>4.4000000000000012</v>
      </c>
      <c r="F50">
        <v>1.4635222922665485</v>
      </c>
      <c r="G50" s="15">
        <v>0</v>
      </c>
      <c r="H50">
        <f t="shared" si="0"/>
        <v>-2.1809512063108869</v>
      </c>
      <c r="I50">
        <f t="shared" si="1"/>
        <v>0.10147416672452544</v>
      </c>
    </row>
    <row r="51" spans="5:9" x14ac:dyDescent="0.25">
      <c r="E51">
        <v>4.6000000000000014</v>
      </c>
      <c r="F51">
        <v>0.18237080609443534</v>
      </c>
      <c r="G51" s="15">
        <v>0</v>
      </c>
      <c r="H51">
        <f t="shared" si="0"/>
        <v>-5.2875480509106083</v>
      </c>
      <c r="I51">
        <f t="shared" si="1"/>
        <v>5.0287217158921059E-3</v>
      </c>
    </row>
    <row r="52" spans="5:9" x14ac:dyDescent="0.25">
      <c r="E52">
        <v>4.8000000000000016</v>
      </c>
      <c r="F52">
        <v>1.4366552267732708</v>
      </c>
      <c r="G52" s="15">
        <v>0</v>
      </c>
      <c r="H52">
        <f t="shared" si="0"/>
        <v>-2.7360836920675013</v>
      </c>
      <c r="I52">
        <f t="shared" si="1"/>
        <v>6.087741928797126E-2</v>
      </c>
    </row>
    <row r="53" spans="5:9" x14ac:dyDescent="0.25">
      <c r="E53">
        <v>5.0000000000000018</v>
      </c>
      <c r="F53">
        <v>-0.16002056124627817</v>
      </c>
      <c r="G53" s="15">
        <v>0</v>
      </c>
      <c r="H53">
        <f t="shared" si="0"/>
        <v>-6.546802382619811</v>
      </c>
      <c r="I53">
        <f t="shared" si="1"/>
        <v>1.4326404765030091E-3</v>
      </c>
    </row>
  </sheetData>
  <conditionalFormatting sqref="I1:I1048576">
    <cfRule type="colorScale" priority="1">
      <colorScale>
        <cfvo type="min"/>
        <cfvo type="max"/>
        <color theme="5" tint="0.39997558519241921"/>
        <color theme="4" tint="0.39997558519241921"/>
      </colorScale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radientDescentLog">
                <anchor moveWithCells="1" sizeWithCells="1">
                  <from>
                    <xdr:col>0</xdr:col>
                    <xdr:colOff>114300</xdr:colOff>
                    <xdr:row>10</xdr:row>
                    <xdr:rowOff>142875</xdr:rowOff>
                  </from>
                  <to>
                    <xdr:col>2</xdr:col>
                    <xdr:colOff>323850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TH1_TH2_Initial_Random">
                <anchor moveWithCells="1" sizeWithCells="1">
                  <from>
                    <xdr:col>0</xdr:col>
                    <xdr:colOff>114300</xdr:colOff>
                    <xdr:row>7</xdr:row>
                    <xdr:rowOff>28575</xdr:rowOff>
                  </from>
                  <to>
                    <xdr:col>2</xdr:col>
                    <xdr:colOff>314325</xdr:colOff>
                    <xdr:row>9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RegresionLineal</vt:lpstr>
      <vt:lpstr>RegresionLinealMultiple</vt:lpstr>
      <vt:lpstr>GenRecLogistic</vt:lpstr>
      <vt:lpstr>RegLogistic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 Ernesto Romero Alvarez</dc:creator>
  <cp:lastModifiedBy>Fran Ernesto Romero Alvarez</cp:lastModifiedBy>
  <dcterms:created xsi:type="dcterms:W3CDTF">2020-01-31T18:30:54Z</dcterms:created>
  <dcterms:modified xsi:type="dcterms:W3CDTF">2020-02-07T02:31:23Z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c8ffc114-37e5-42da-9470-838f8ab309b5</vt:lpwstr>
  </property>
</Properties>
</file>